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rsiniL-admin\dropbox bham\Dropbox\Luisa_Bham\time_machine_project\bioremediation\DWS-project\funding\HorizonEurope_innovation 2022\results UPSTREAM\laboratory results\"/>
    </mc:Choice>
  </mc:AlternateContent>
  <xr:revisionPtr revIDLastSave="0" documentId="13_ncr:1_{843EB079-D744-42E9-AB1C-F00C72B43B5F}" xr6:coauthVersionLast="47" xr6:coauthVersionMax="47" xr10:uidLastSave="{00000000-0000-0000-0000-000000000000}"/>
  <bookViews>
    <workbookView xWindow="-110" yWindow="-110" windowWidth="19420" windowHeight="12660" xr2:uid="{E0D6E969-E7C6-4802-AE78-B0103AE14023}"/>
  </bookViews>
  <sheets>
    <sheet name="PFAS" sheetId="1" r:id="rId1"/>
    <sheet name="MP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6" i="1" l="1"/>
  <c r="X6" i="1"/>
  <c r="Y5" i="1"/>
  <c r="X5" i="1"/>
  <c r="Y4" i="1"/>
  <c r="X4" i="1"/>
  <c r="I12" i="1"/>
  <c r="H12" i="1"/>
  <c r="I23" i="1"/>
  <c r="H23" i="1"/>
  <c r="C23" i="1"/>
  <c r="B23" i="1"/>
  <c r="C12" i="1"/>
  <c r="B12" i="1"/>
  <c r="V13" i="2"/>
  <c r="U13" i="2"/>
  <c r="V7" i="2"/>
  <c r="U7" i="2"/>
  <c r="P13" i="2"/>
  <c r="O13" i="2"/>
  <c r="P7" i="2"/>
  <c r="O7" i="2"/>
  <c r="J7" i="2"/>
  <c r="I7" i="2"/>
  <c r="J13" i="2"/>
  <c r="I13" i="2"/>
  <c r="D13" i="2"/>
  <c r="C13" i="2"/>
  <c r="D7" i="2"/>
  <c r="C7" i="2"/>
  <c r="X4" i="2" l="1"/>
  <c r="R12" i="2"/>
  <c r="L12" i="2"/>
  <c r="F12" i="2"/>
  <c r="X11" i="2"/>
  <c r="R11" i="2"/>
  <c r="L11" i="2"/>
  <c r="F11" i="2"/>
  <c r="X10" i="2"/>
  <c r="R10" i="2"/>
  <c r="L10" i="2"/>
  <c r="F10" i="2"/>
  <c r="X6" i="2"/>
  <c r="R6" i="2"/>
  <c r="L6" i="2"/>
  <c r="F6" i="2"/>
  <c r="X5" i="2"/>
  <c r="R5" i="2"/>
  <c r="L5" i="2"/>
  <c r="F5" i="2"/>
  <c r="R4" i="2"/>
  <c r="L4" i="2"/>
  <c r="F4" i="2"/>
  <c r="P40" i="1" l="1"/>
  <c r="P41" i="1"/>
  <c r="P42" i="1"/>
  <c r="P43" i="1"/>
  <c r="P36" i="1"/>
  <c r="P37" i="1"/>
  <c r="P38" i="1"/>
  <c r="P39" i="1"/>
  <c r="P35" i="1"/>
  <c r="P26" i="1"/>
  <c r="P27" i="1"/>
  <c r="P28" i="1"/>
  <c r="P29" i="1"/>
  <c r="P30" i="1"/>
  <c r="P31" i="1"/>
  <c r="P32" i="1"/>
  <c r="P33" i="1"/>
  <c r="P25" i="1"/>
  <c r="P11" i="1"/>
  <c r="P15" i="1"/>
  <c r="P16" i="1"/>
  <c r="P17" i="1"/>
  <c r="P18" i="1"/>
  <c r="P19" i="1"/>
  <c r="P20" i="1"/>
  <c r="P21" i="1"/>
  <c r="P22" i="1"/>
  <c r="P14" i="1"/>
  <c r="P4" i="1"/>
  <c r="P5" i="1"/>
  <c r="P6" i="1"/>
  <c r="P7" i="1"/>
  <c r="P8" i="1"/>
  <c r="P9" i="1"/>
  <c r="P10" i="1"/>
  <c r="P3" i="1"/>
  <c r="Q38" i="1" l="1"/>
  <c r="Q41" i="1"/>
  <c r="Q25" i="1"/>
  <c r="Q35" i="1"/>
  <c r="Q17" i="1"/>
  <c r="Q31" i="1"/>
  <c r="Q28" i="1"/>
  <c r="Q20" i="1"/>
  <c r="Q3" i="1"/>
  <c r="Q6" i="1"/>
  <c r="Q14" i="1"/>
  <c r="Q9" i="1"/>
  <c r="J33" i="1" l="1"/>
  <c r="J26" i="1"/>
  <c r="J36" i="1"/>
  <c r="J37" i="1"/>
  <c r="J38" i="1"/>
  <c r="J39" i="1"/>
  <c r="J40" i="1"/>
  <c r="J41" i="1"/>
  <c r="J42" i="1"/>
  <c r="J43" i="1"/>
  <c r="J35" i="1"/>
  <c r="J27" i="1"/>
  <c r="J28" i="1"/>
  <c r="J29" i="1"/>
  <c r="J30" i="1"/>
  <c r="J31" i="1"/>
  <c r="J32" i="1"/>
  <c r="J25" i="1"/>
  <c r="J15" i="1"/>
  <c r="J16" i="1"/>
  <c r="J17" i="1"/>
  <c r="J18" i="1"/>
  <c r="J19" i="1"/>
  <c r="J20" i="1"/>
  <c r="J21" i="1"/>
  <c r="J22" i="1"/>
  <c r="J14" i="1"/>
  <c r="J11" i="1"/>
  <c r="J5" i="1"/>
  <c r="J4" i="1"/>
  <c r="J6" i="1"/>
  <c r="J7" i="1"/>
  <c r="J8" i="1"/>
  <c r="J9" i="1"/>
  <c r="J10" i="1"/>
  <c r="J3" i="1"/>
  <c r="D41" i="1"/>
  <c r="D42" i="1"/>
  <c r="D43" i="1"/>
  <c r="D36" i="1"/>
  <c r="D37" i="1"/>
  <c r="D38" i="1"/>
  <c r="D39" i="1"/>
  <c r="D40" i="1"/>
  <c r="D35" i="1"/>
  <c r="D33" i="1"/>
  <c r="D32" i="1"/>
  <c r="D29" i="1"/>
  <c r="D27" i="1"/>
  <c r="D28" i="1"/>
  <c r="D30" i="1"/>
  <c r="D31" i="1"/>
  <c r="D25" i="1"/>
  <c r="D22" i="1"/>
  <c r="D15" i="1"/>
  <c r="D16" i="1"/>
  <c r="D17" i="1"/>
  <c r="D18" i="1"/>
  <c r="D19" i="1"/>
  <c r="D20" i="1"/>
  <c r="D21" i="1"/>
  <c r="D14" i="1"/>
  <c r="D9" i="1"/>
  <c r="D10" i="1"/>
  <c r="D11" i="1"/>
  <c r="D6" i="1"/>
  <c r="D7" i="1"/>
  <c r="D8" i="1"/>
  <c r="D5" i="1"/>
  <c r="E3" i="1" s="1"/>
  <c r="K35" i="1" l="1"/>
  <c r="K41" i="1"/>
  <c r="K38" i="1"/>
  <c r="E20" i="1"/>
  <c r="K20" i="1"/>
  <c r="K28" i="1"/>
  <c r="K31" i="1"/>
  <c r="K25" i="1"/>
  <c r="K14" i="1"/>
  <c r="K17" i="1"/>
  <c r="K9" i="1"/>
  <c r="K6" i="1"/>
  <c r="K3" i="1"/>
  <c r="E31" i="1"/>
  <c r="E41" i="1"/>
  <c r="E38" i="1"/>
  <c r="E35" i="1"/>
  <c r="E28" i="1"/>
  <c r="E25" i="1"/>
  <c r="E17" i="1"/>
  <c r="E14" i="1"/>
  <c r="E9" i="1"/>
  <c r="E6" i="1"/>
</calcChain>
</file>

<file path=xl/sharedStrings.xml><?xml version="1.0" encoding="utf-8"?>
<sst xmlns="http://schemas.openxmlformats.org/spreadsheetml/2006/main" count="186" uniqueCount="39">
  <si>
    <t>PFOS_LR2_36_01</t>
  </si>
  <si>
    <t>Medium</t>
  </si>
  <si>
    <t>Daphnia Tissue</t>
  </si>
  <si>
    <t>Sum</t>
  </si>
  <si>
    <t>Day 1</t>
  </si>
  <si>
    <t>SD</t>
  </si>
  <si>
    <t>Day 2</t>
  </si>
  <si>
    <t>Day 3</t>
  </si>
  <si>
    <t>PFOS_LRV_01</t>
  </si>
  <si>
    <t>PFOS+PET_LR2_36_01</t>
  </si>
  <si>
    <t>PFOS+PET_LRV_01</t>
  </si>
  <si>
    <t>PFOA_LR2_36_01</t>
  </si>
  <si>
    <t>PFOA_LRV_01</t>
  </si>
  <si>
    <t>PFOA+PET_LR2_36_01</t>
  </si>
  <si>
    <t>PFOA+PET_LRV_01</t>
  </si>
  <si>
    <t>PFOS+PFOA_LR2_36_01</t>
  </si>
  <si>
    <t>PFOS+PFOA_LRV_01</t>
  </si>
  <si>
    <t>PFOS+PFOA+PET_LR2_36_01</t>
  </si>
  <si>
    <t>PFOS+PFOA+PET_LRV_01</t>
  </si>
  <si>
    <t>Mass Balance (% recovery)</t>
  </si>
  <si>
    <t>MPs_LR2_36_01</t>
  </si>
  <si>
    <t>MPs +PFOS_LR2_36_01</t>
  </si>
  <si>
    <t>MPs+PFOA_LR2_36_01</t>
  </si>
  <si>
    <t>MPs+PFOS+PFOA_LR2_36_01</t>
  </si>
  <si>
    <t>LR2_36_01</t>
  </si>
  <si>
    <t>MPs_LRV_01</t>
  </si>
  <si>
    <t>MPs+PFOS_LRV_01</t>
  </si>
  <si>
    <t>MPS+PFOA_LRV_01</t>
  </si>
  <si>
    <t>MPS+PFOS+PFOA_LRV_01</t>
  </si>
  <si>
    <t>LRV_01</t>
  </si>
  <si>
    <r>
      <rPr>
        <b/>
        <sz val="11"/>
        <color theme="7"/>
        <rFont val="Aptos Narrow"/>
        <family val="2"/>
        <scheme val="minor"/>
      </rPr>
      <t>Note:</t>
    </r>
    <r>
      <rPr>
        <sz val="11"/>
        <color theme="7"/>
        <rFont val="Aptos Narrow"/>
        <family val="2"/>
        <scheme val="minor"/>
      </rPr>
      <t xml:space="preserve"> If you click on the SD value it will show exactly which 3 individual data point were used to estimate the SD </t>
    </r>
  </si>
  <si>
    <t>MP</t>
  </si>
  <si>
    <t>LRV01</t>
  </si>
  <si>
    <t>LRII_36</t>
  </si>
  <si>
    <t>Daphnia</t>
  </si>
  <si>
    <t>PFOS</t>
  </si>
  <si>
    <t>PFOA</t>
  </si>
  <si>
    <t>Experienced</t>
  </si>
  <si>
    <t>Naïve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</si>
</sst>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5" tint="-0.499984740745262"/>
      <name val="Aptos Narrow"/>
      <family val="2"/>
      <scheme val="minor"/>
    </font>
    <font>
      <sz val="11"/>
      <color theme="5" tint="-0.499984740745262"/>
      <name val="Aptos Narrow"/>
      <family val="2"/>
      <scheme val="minor"/>
    </font>
    <font>
      <b/>
      <sz val="11"/>
      <color rgb="FF7E350E"/>
      <name val="Aptos Narrow"/>
      <family val="2"/>
    </font>
    <font>
      <sz val="11"/>
      <color rgb="FF7E350E"/>
      <name val="Aptos Narrow"/>
      <family val="2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9" tint="-0.499984740745262"/>
      <name val="Aptos Narrow"/>
      <family val="2"/>
      <scheme val="minor"/>
    </font>
    <font>
      <b/>
      <sz val="11"/>
      <color theme="7"/>
      <name val="Aptos Narrow"/>
      <family val="2"/>
      <scheme val="minor"/>
    </font>
    <font>
      <sz val="11"/>
      <color theme="7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DAE9F8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left"/>
    </xf>
    <xf numFmtId="1" fontId="2" fillId="3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left"/>
    </xf>
    <xf numFmtId="1" fontId="4" fillId="4" borderId="0" xfId="0" applyNumberFormat="1" applyFont="1" applyFill="1" applyAlignment="1">
      <alignment horizontal="center" vertical="center"/>
    </xf>
    <xf numFmtId="1" fontId="1" fillId="2" borderId="0" xfId="0" applyNumberFormat="1" applyFont="1" applyFill="1" applyAlignment="1">
      <alignment horizontal="center" vertical="center"/>
    </xf>
    <xf numFmtId="1" fontId="0" fillId="0" borderId="0" xfId="0" applyNumberFormat="1"/>
    <xf numFmtId="0" fontId="1" fillId="5" borderId="0" xfId="0" applyFont="1" applyFill="1" applyAlignment="1">
      <alignment horizontal="left"/>
    </xf>
    <xf numFmtId="0" fontId="1" fillId="6" borderId="0" xfId="0" applyFont="1" applyFill="1" applyAlignment="1">
      <alignment horizontal="left"/>
    </xf>
    <xf numFmtId="2" fontId="0" fillId="6" borderId="0" xfId="0" applyNumberFormat="1" applyFill="1"/>
    <xf numFmtId="1" fontId="2" fillId="5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left"/>
    </xf>
    <xf numFmtId="0" fontId="5" fillId="0" borderId="0" xfId="0" applyFont="1"/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7" fillId="0" borderId="0" xfId="0" applyFont="1" applyAlignment="1">
      <alignment horizontal="left"/>
    </xf>
    <xf numFmtId="1" fontId="7" fillId="0" borderId="0" xfId="0" applyNumberFormat="1" applyFont="1" applyAlignment="1">
      <alignment horizontal="left"/>
    </xf>
    <xf numFmtId="1" fontId="0" fillId="0" borderId="0" xfId="0" applyNumberFormat="1" applyAlignment="1">
      <alignment horizontal="left"/>
    </xf>
    <xf numFmtId="1" fontId="5" fillId="0" borderId="0" xfId="0" applyNumberFormat="1" applyFont="1"/>
    <xf numFmtId="1" fontId="5" fillId="0" borderId="0" xfId="0" applyNumberFormat="1" applyFont="1" applyAlignment="1">
      <alignment horizontal="left"/>
    </xf>
    <xf numFmtId="1" fontId="0" fillId="2" borderId="0" xfId="0" applyNumberFormat="1" applyFill="1" applyAlignment="1">
      <alignment horizontal="left"/>
    </xf>
    <xf numFmtId="1" fontId="0" fillId="2" borderId="0" xfId="0" applyNumberFormat="1" applyFill="1"/>
    <xf numFmtId="0" fontId="9" fillId="0" borderId="0" xfId="0" applyFont="1"/>
    <xf numFmtId="2" fontId="1" fillId="2" borderId="0" xfId="0" applyNumberFormat="1" applyFont="1" applyFill="1" applyAlignment="1">
      <alignment horizontal="center" vertic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/>
              <a:t>PFOS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PFAS!$U$3</c:f>
              <c:strCache>
                <c:ptCount val="1"/>
                <c:pt idx="0">
                  <c:v>Medium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PFAS!$T$4:$T$5</c:f>
              <c:strCache>
                <c:ptCount val="2"/>
                <c:pt idx="0">
                  <c:v>Experienced</c:v>
                </c:pt>
                <c:pt idx="1">
                  <c:v>Naïve</c:v>
                </c:pt>
              </c:strCache>
            </c:strRef>
          </c:cat>
          <c:val>
            <c:numRef>
              <c:f>PFAS!$U$4:$U$5</c:f>
              <c:numCache>
                <c:formatCode>General</c:formatCode>
                <c:ptCount val="2"/>
                <c:pt idx="0">
                  <c:v>61</c:v>
                </c:pt>
                <c:pt idx="1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B3-4F87-9FD6-6C2D0D959318}"/>
            </c:ext>
          </c:extLst>
        </c:ser>
        <c:ser>
          <c:idx val="1"/>
          <c:order val="1"/>
          <c:tx>
            <c:strRef>
              <c:f>PFAS!$V$3</c:f>
              <c:strCache>
                <c:ptCount val="1"/>
                <c:pt idx="0">
                  <c:v>Daphnia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PFAS!$T$4:$T$5</c:f>
              <c:strCache>
                <c:ptCount val="2"/>
                <c:pt idx="0">
                  <c:v>Experienced</c:v>
                </c:pt>
                <c:pt idx="1">
                  <c:v>Naïve</c:v>
                </c:pt>
              </c:strCache>
            </c:strRef>
          </c:cat>
          <c:val>
            <c:numRef>
              <c:f>PFAS!$V$4:$V$5</c:f>
              <c:numCache>
                <c:formatCode>General</c:formatCode>
                <c:ptCount val="2"/>
                <c:pt idx="0">
                  <c:v>24</c:v>
                </c:pt>
                <c:pt idx="1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B3-4F87-9FD6-6C2D0D9593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43094048"/>
        <c:axId val="1143093088"/>
      </c:barChart>
      <c:catAx>
        <c:axId val="1143094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43093088"/>
        <c:crosses val="autoZero"/>
        <c:auto val="1"/>
        <c:lblAlgn val="ctr"/>
        <c:lblOffset val="100"/>
        <c:noMultiLvlLbl val="0"/>
      </c:catAx>
      <c:valAx>
        <c:axId val="1143093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43094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1163546918025149E-2"/>
          <c:y val="0.82291557305336838"/>
          <c:w val="0.94585640628413414"/>
          <c:h val="0.1493066491688538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/>
              <a:t>PFOA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PFAS!$U$6</c:f>
              <c:strCache>
                <c:ptCount val="1"/>
                <c:pt idx="0">
                  <c:v>Medium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PFAS!$T$7:$T$8</c:f>
              <c:strCache>
                <c:ptCount val="2"/>
                <c:pt idx="0">
                  <c:v>Experienced</c:v>
                </c:pt>
                <c:pt idx="1">
                  <c:v>Naïve</c:v>
                </c:pt>
              </c:strCache>
            </c:strRef>
          </c:cat>
          <c:val>
            <c:numRef>
              <c:f>PFAS!$U$7:$U$8</c:f>
              <c:numCache>
                <c:formatCode>General</c:formatCode>
                <c:ptCount val="2"/>
                <c:pt idx="0">
                  <c:v>59</c:v>
                </c:pt>
                <c:pt idx="1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4B-4D55-9398-00822B9DF3B5}"/>
            </c:ext>
          </c:extLst>
        </c:ser>
        <c:ser>
          <c:idx val="1"/>
          <c:order val="1"/>
          <c:tx>
            <c:strRef>
              <c:f>PFAS!$V$6</c:f>
              <c:strCache>
                <c:ptCount val="1"/>
                <c:pt idx="0">
                  <c:v>Daphnia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PFAS!$T$7:$T$8</c:f>
              <c:strCache>
                <c:ptCount val="2"/>
                <c:pt idx="0">
                  <c:v>Experienced</c:v>
                </c:pt>
                <c:pt idx="1">
                  <c:v>Naïve</c:v>
                </c:pt>
              </c:strCache>
            </c:strRef>
          </c:cat>
          <c:val>
            <c:numRef>
              <c:f>PFAS!$V$7:$V$8</c:f>
              <c:numCache>
                <c:formatCode>General</c:formatCode>
                <c:ptCount val="2"/>
                <c:pt idx="0">
                  <c:v>30</c:v>
                </c:pt>
                <c:pt idx="1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4B-4D55-9398-00822B9DF3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92597104"/>
        <c:axId val="1192596144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PFAS!$W$6</c15:sqref>
                        </c15:formulaRef>
                      </c:ext>
                    </c:extLst>
                    <c:strCache>
                      <c:ptCount val="1"/>
                      <c:pt idx="0">
                        <c:v>MP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3">
                          <a:lumMod val="110000"/>
                          <a:satMod val="105000"/>
                          <a:tint val="67000"/>
                        </a:schemeClr>
                      </a:gs>
                      <a:gs pos="50000">
                        <a:schemeClr val="accent3">
                          <a:lumMod val="105000"/>
                          <a:satMod val="103000"/>
                          <a:tint val="73000"/>
                        </a:schemeClr>
                      </a:gs>
                      <a:gs pos="100000">
                        <a:schemeClr val="accent3">
                          <a:lumMod val="105000"/>
                          <a:satMod val="109000"/>
                          <a:tint val="81000"/>
                        </a:schemeClr>
                      </a:gs>
                    </a:gsLst>
                    <a:lin ang="5400000" scaled="0"/>
                  </a:gradFill>
                  <a:ln w="9525" cap="flat" cmpd="sng" algn="ctr">
                    <a:solidFill>
                      <a:schemeClr val="accent3">
                        <a:shade val="95000"/>
                      </a:schemeClr>
                    </a:solidFill>
                    <a:round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PFAS!$T$7:$T$8</c15:sqref>
                        </c15:formulaRef>
                      </c:ext>
                    </c:extLst>
                    <c:strCache>
                      <c:ptCount val="2"/>
                      <c:pt idx="0">
                        <c:v>Experienced</c:v>
                      </c:pt>
                      <c:pt idx="1">
                        <c:v>Naïve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PFAS!$W$7:$W$8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D64B-4D55-9398-00822B9DF3B5}"/>
                  </c:ext>
                </c:extLst>
              </c15:ser>
            </c15:filteredBarSeries>
          </c:ext>
        </c:extLst>
      </c:barChart>
      <c:catAx>
        <c:axId val="1192597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92596144"/>
        <c:crosses val="autoZero"/>
        <c:auto val="1"/>
        <c:lblAlgn val="ctr"/>
        <c:lblOffset val="100"/>
        <c:noMultiLvlLbl val="0"/>
      </c:catAx>
      <c:valAx>
        <c:axId val="1192596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92597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3146443758894091E-2"/>
          <c:y val="0.82291557305336838"/>
          <c:w val="0.96614150386500686"/>
          <c:h val="0.1493066491688538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/>
              <a:t>MP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PFAS!$U$9</c:f>
              <c:strCache>
                <c:ptCount val="1"/>
                <c:pt idx="0">
                  <c:v>Medium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PFAS!$T$10:$T$11</c:f>
              <c:strCache>
                <c:ptCount val="2"/>
                <c:pt idx="0">
                  <c:v>Experienced</c:v>
                </c:pt>
                <c:pt idx="1">
                  <c:v>Naïve</c:v>
                </c:pt>
              </c:strCache>
            </c:strRef>
          </c:cat>
          <c:val>
            <c:numRef>
              <c:f>PFAS!$U$10:$U$11</c:f>
              <c:numCache>
                <c:formatCode>General</c:formatCode>
                <c:ptCount val="2"/>
                <c:pt idx="0">
                  <c:v>62</c:v>
                </c:pt>
                <c:pt idx="1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17-4B80-AF1F-8FA1D6C90A95}"/>
            </c:ext>
          </c:extLst>
        </c:ser>
        <c:ser>
          <c:idx val="1"/>
          <c:order val="1"/>
          <c:tx>
            <c:strRef>
              <c:f>PFAS!$V$9</c:f>
              <c:strCache>
                <c:ptCount val="1"/>
                <c:pt idx="0">
                  <c:v>Daphnia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PFAS!$T$10:$T$11</c:f>
              <c:strCache>
                <c:ptCount val="2"/>
                <c:pt idx="0">
                  <c:v>Experienced</c:v>
                </c:pt>
                <c:pt idx="1">
                  <c:v>Naïve</c:v>
                </c:pt>
              </c:strCache>
            </c:strRef>
          </c:cat>
          <c:val>
            <c:numRef>
              <c:f>PFAS!$V$10:$V$11</c:f>
              <c:numCache>
                <c:formatCode>General</c:formatCode>
                <c:ptCount val="2"/>
                <c:pt idx="0">
                  <c:v>29</c:v>
                </c:pt>
                <c:pt idx="1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17-4B80-AF1F-8FA1D6C90A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87927232"/>
        <c:axId val="1187927712"/>
      </c:barChart>
      <c:catAx>
        <c:axId val="1187927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87927712"/>
        <c:crosses val="autoZero"/>
        <c:auto val="1"/>
        <c:lblAlgn val="ctr"/>
        <c:lblOffset val="100"/>
        <c:noMultiLvlLbl val="0"/>
      </c:catAx>
      <c:valAx>
        <c:axId val="1187927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87927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PFAS!$X$3</c:f>
              <c:strCache>
                <c:ptCount val="1"/>
                <c:pt idx="0">
                  <c:v>Medium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PFAS!$W$4:$W$6</c:f>
              <c:strCache>
                <c:ptCount val="3"/>
                <c:pt idx="0">
                  <c:v>PFOS</c:v>
                </c:pt>
                <c:pt idx="1">
                  <c:v>PFOA</c:v>
                </c:pt>
                <c:pt idx="2">
                  <c:v>MP</c:v>
                </c:pt>
              </c:strCache>
            </c:strRef>
          </c:cat>
          <c:val>
            <c:numRef>
              <c:f>PFAS!$X$4:$X$6</c:f>
              <c:numCache>
                <c:formatCode>General</c:formatCode>
                <c:ptCount val="3"/>
                <c:pt idx="0">
                  <c:v>64</c:v>
                </c:pt>
                <c:pt idx="1">
                  <c:v>58.5</c:v>
                </c:pt>
                <c:pt idx="2">
                  <c:v>60.5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F8-47AC-A494-CDE17EA562E7}"/>
            </c:ext>
          </c:extLst>
        </c:ser>
        <c:ser>
          <c:idx val="1"/>
          <c:order val="1"/>
          <c:tx>
            <c:strRef>
              <c:f>PFAS!$Y$3</c:f>
              <c:strCache>
                <c:ptCount val="1"/>
                <c:pt idx="0">
                  <c:v>Daphnia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PFAS!$W$4:$W$6</c:f>
              <c:strCache>
                <c:ptCount val="3"/>
                <c:pt idx="0">
                  <c:v>PFOS</c:v>
                </c:pt>
                <c:pt idx="1">
                  <c:v>PFOA</c:v>
                </c:pt>
                <c:pt idx="2">
                  <c:v>MP</c:v>
                </c:pt>
              </c:strCache>
            </c:strRef>
          </c:cat>
          <c:val>
            <c:numRef>
              <c:f>PFAS!$Y$4:$Y$6</c:f>
              <c:numCache>
                <c:formatCode>General</c:formatCode>
                <c:ptCount val="3"/>
                <c:pt idx="0">
                  <c:v>22</c:v>
                </c:pt>
                <c:pt idx="1">
                  <c:v>31.5</c:v>
                </c:pt>
                <c:pt idx="2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F8-47AC-A494-CDE17EA562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83021040"/>
        <c:axId val="1483017200"/>
      </c:barChart>
      <c:catAx>
        <c:axId val="1483021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483017200"/>
        <c:crosses val="autoZero"/>
        <c:auto val="1"/>
        <c:lblAlgn val="ctr"/>
        <c:lblOffset val="100"/>
        <c:noMultiLvlLbl val="0"/>
      </c:catAx>
      <c:valAx>
        <c:axId val="1483017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483021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0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15876</xdr:colOff>
      <xdr:row>6</xdr:row>
      <xdr:rowOff>172244</xdr:rowOff>
    </xdr:from>
    <xdr:to>
      <xdr:col>30</xdr:col>
      <xdr:colOff>0</xdr:colOff>
      <xdr:row>25</xdr:row>
      <xdr:rowOff>142874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FBDF1B-88CD-30FA-254D-18C89B6EF1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146844</xdr:colOff>
      <xdr:row>7</xdr:row>
      <xdr:rowOff>37305</xdr:rowOff>
    </xdr:from>
    <xdr:to>
      <xdr:col>32</xdr:col>
      <xdr:colOff>309562</xdr:colOff>
      <xdr:row>26</xdr:row>
      <xdr:rowOff>23812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F34563D-94B1-6567-623F-0E15467688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115093</xdr:colOff>
      <xdr:row>6</xdr:row>
      <xdr:rowOff>172242</xdr:rowOff>
    </xdr:from>
    <xdr:to>
      <xdr:col>35</xdr:col>
      <xdr:colOff>333375</xdr:colOff>
      <xdr:row>25</xdr:row>
      <xdr:rowOff>150811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577DAED-6213-E2B9-41C3-76E4FF1F96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329407</xdr:colOff>
      <xdr:row>23</xdr:row>
      <xdr:rowOff>37306</xdr:rowOff>
    </xdr:from>
    <xdr:to>
      <xdr:col>25</xdr:col>
      <xdr:colOff>214313</xdr:colOff>
      <xdr:row>38</xdr:row>
      <xdr:rowOff>42069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31BEE46-F132-959C-8AA2-4F66E91A7A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4AFB1-0B5C-4A6C-87F6-5A9D2A2739E2}">
  <dimension ref="A2:Y43"/>
  <sheetViews>
    <sheetView tabSelected="1" topLeftCell="N7" zoomScale="80" zoomScaleNormal="80" workbookViewId="0">
      <selection activeCell="W3" sqref="W3:Y6"/>
    </sheetView>
  </sheetViews>
  <sheetFormatPr defaultRowHeight="14.5" x14ac:dyDescent="0.35"/>
  <cols>
    <col min="1" max="1" width="15" bestFit="1" customWidth="1"/>
    <col min="2" max="4" width="8.90625" style="8"/>
    <col min="5" max="5" width="8.81640625" style="27"/>
    <col min="7" max="7" width="19.08984375" bestFit="1" customWidth="1"/>
    <col min="8" max="10" width="8.81640625" style="8"/>
    <col min="11" max="11" width="8.81640625" style="27"/>
    <col min="17" max="17" width="8.81640625" style="27"/>
    <col min="20" max="20" width="11.08984375" bestFit="1" customWidth="1"/>
  </cols>
  <sheetData>
    <row r="2" spans="1:25" x14ac:dyDescent="0.35">
      <c r="A2" s="1" t="s">
        <v>0</v>
      </c>
      <c r="B2" s="7" t="s">
        <v>1</v>
      </c>
      <c r="C2" s="7" t="s">
        <v>2</v>
      </c>
      <c r="D2" s="7" t="s">
        <v>3</v>
      </c>
      <c r="E2" s="26" t="s">
        <v>5</v>
      </c>
      <c r="G2" s="1" t="s">
        <v>11</v>
      </c>
      <c r="H2" s="7" t="s">
        <v>1</v>
      </c>
      <c r="I2" s="7" t="s">
        <v>2</v>
      </c>
      <c r="J2" s="7" t="s">
        <v>3</v>
      </c>
      <c r="K2" s="26" t="s">
        <v>5</v>
      </c>
      <c r="M2" s="1" t="s">
        <v>15</v>
      </c>
      <c r="N2" s="2" t="s">
        <v>1</v>
      </c>
      <c r="O2" s="2" t="s">
        <v>2</v>
      </c>
      <c r="P2" s="2" t="s">
        <v>3</v>
      </c>
      <c r="Q2" s="26" t="s">
        <v>5</v>
      </c>
    </row>
    <row r="3" spans="1:25" x14ac:dyDescent="0.35">
      <c r="A3" s="5" t="s">
        <v>4</v>
      </c>
      <c r="B3" s="6">
        <v>52.42638351097095</v>
      </c>
      <c r="C3" s="6">
        <v>23.150417890733497</v>
      </c>
      <c r="D3" s="6">
        <v>75.576801401704444</v>
      </c>
      <c r="E3" s="27">
        <f>STDEV(D3:D5)</f>
        <v>6.8909549738792766</v>
      </c>
      <c r="G3" s="9" t="s">
        <v>4</v>
      </c>
      <c r="H3" s="12">
        <v>65.000100869999997</v>
      </c>
      <c r="I3" s="12">
        <v>49.652542372881399</v>
      </c>
      <c r="J3" s="12">
        <f>SUM(H3:I3)</f>
        <v>114.6526432428814</v>
      </c>
      <c r="K3" s="27">
        <f>STDEV(J3:J5)</f>
        <v>9.155275434342613</v>
      </c>
      <c r="M3" s="10" t="s">
        <v>4</v>
      </c>
      <c r="N3" s="11">
        <v>53.608158062834711</v>
      </c>
      <c r="O3" s="11">
        <v>25.641311128224491</v>
      </c>
      <c r="P3" s="11">
        <f>SUM(N3:O3)</f>
        <v>79.249469191059205</v>
      </c>
      <c r="Q3" s="27">
        <f>STDEV(P3:P5)</f>
        <v>6.8945357153604778</v>
      </c>
      <c r="T3" t="s">
        <v>35</v>
      </c>
      <c r="U3" t="s">
        <v>1</v>
      </c>
      <c r="V3" t="s">
        <v>34</v>
      </c>
      <c r="X3" t="s">
        <v>1</v>
      </c>
      <c r="Y3" t="s">
        <v>34</v>
      </c>
    </row>
    <row r="4" spans="1:25" x14ac:dyDescent="0.35">
      <c r="B4" s="6">
        <v>67.684756097560978</v>
      </c>
      <c r="C4" s="6">
        <v>15.072539454806305</v>
      </c>
      <c r="D4" s="6">
        <v>82.757295552367282</v>
      </c>
      <c r="H4" s="12">
        <v>63.766494549627097</v>
      </c>
      <c r="I4" s="12">
        <v>32.806537530266397</v>
      </c>
      <c r="J4" s="12">
        <f t="shared" ref="J4:J11" si="0">SUM(H4:I4)</f>
        <v>96.573032079893494</v>
      </c>
      <c r="N4" s="11">
        <v>65.790533718843619</v>
      </c>
      <c r="O4" s="11">
        <v>16.547805499299866</v>
      </c>
      <c r="P4" s="11">
        <f t="shared" ref="P4:P11" si="1">SUM(N4:O4)</f>
        <v>82.338339218143489</v>
      </c>
      <c r="T4" t="s">
        <v>37</v>
      </c>
      <c r="U4">
        <v>61</v>
      </c>
      <c r="V4">
        <v>24</v>
      </c>
      <c r="W4" t="s">
        <v>35</v>
      </c>
      <c r="X4">
        <f>AVERAGE(U4:U5)</f>
        <v>64</v>
      </c>
      <c r="Y4">
        <f>AVERAGE(V4:V5)</f>
        <v>22</v>
      </c>
    </row>
    <row r="5" spans="1:25" x14ac:dyDescent="0.35">
      <c r="B5" s="6">
        <v>70.325363699999997</v>
      </c>
      <c r="C5" s="6">
        <v>19.029233999999999</v>
      </c>
      <c r="D5" s="6">
        <f>SUM(B5:C5)</f>
        <v>89.354597699999999</v>
      </c>
      <c r="H5" s="12">
        <v>68.656670000000005</v>
      </c>
      <c r="I5" s="12">
        <v>34.445599999999999</v>
      </c>
      <c r="J5" s="12">
        <f t="shared" si="0"/>
        <v>103.10227</v>
      </c>
      <c r="N5" s="11">
        <v>62.954433000000002</v>
      </c>
      <c r="O5" s="11">
        <v>29.477685399999999</v>
      </c>
      <c r="P5" s="11">
        <f t="shared" si="1"/>
        <v>92.432118400000007</v>
      </c>
      <c r="T5" t="s">
        <v>38</v>
      </c>
      <c r="U5">
        <v>67</v>
      </c>
      <c r="V5">
        <v>20</v>
      </c>
      <c r="W5" t="s">
        <v>36</v>
      </c>
      <c r="X5">
        <f>AVERAGE(U7:U8)</f>
        <v>58.5</v>
      </c>
      <c r="Y5">
        <f>AVERAGE(V7:V8)</f>
        <v>31.5</v>
      </c>
    </row>
    <row r="6" spans="1:25" x14ac:dyDescent="0.35">
      <c r="A6" s="3" t="s">
        <v>6</v>
      </c>
      <c r="B6" s="4">
        <v>63.34841628959277</v>
      </c>
      <c r="C6" s="4">
        <v>19.853733348543031</v>
      </c>
      <c r="D6" s="6">
        <f t="shared" ref="D6:D11" si="2">SUM(B6:C6)</f>
        <v>83.202149638135808</v>
      </c>
      <c r="E6" s="27">
        <f>STDEV(D6:D8)</f>
        <v>8.1866458266564877</v>
      </c>
      <c r="G6" s="9" t="s">
        <v>6</v>
      </c>
      <c r="H6" s="12">
        <v>54.733870967741915</v>
      </c>
      <c r="I6" s="12">
        <v>29.372860169491528</v>
      </c>
      <c r="J6" s="12">
        <f t="shared" si="0"/>
        <v>84.106731137233439</v>
      </c>
      <c r="K6" s="27">
        <f>STDEV(J6:J8)</f>
        <v>7.825926067406658</v>
      </c>
      <c r="M6" s="10" t="s">
        <v>6</v>
      </c>
      <c r="N6" s="11">
        <v>62.452753606899513</v>
      </c>
      <c r="O6" s="11">
        <v>20.843446252336342</v>
      </c>
      <c r="P6" s="11">
        <f t="shared" si="1"/>
        <v>83.296199859235855</v>
      </c>
      <c r="Q6" s="27">
        <f>STDEV(P6:P8)</f>
        <v>7.5294691205434265</v>
      </c>
      <c r="T6" t="s">
        <v>36</v>
      </c>
      <c r="U6" t="s">
        <v>1</v>
      </c>
      <c r="V6" t="s">
        <v>34</v>
      </c>
      <c r="W6" t="s">
        <v>31</v>
      </c>
      <c r="X6">
        <f>AVERAGE(U10:U11)</f>
        <v>60.5</v>
      </c>
      <c r="Y6">
        <f>AVERAGE(V10:V11)</f>
        <v>33</v>
      </c>
    </row>
    <row r="7" spans="1:25" x14ac:dyDescent="0.35">
      <c r="B7" s="4">
        <v>67.737670514165785</v>
      </c>
      <c r="C7" s="4">
        <v>13.934415571055277</v>
      </c>
      <c r="D7" s="6">
        <f t="shared" si="2"/>
        <v>81.672086085221068</v>
      </c>
      <c r="H7" s="12">
        <v>54.443550000000009</v>
      </c>
      <c r="I7" s="12">
        <v>22.351342576271239</v>
      </c>
      <c r="J7" s="12">
        <f t="shared" si="0"/>
        <v>76.794892576271252</v>
      </c>
      <c r="N7" s="11">
        <v>66.179223151195458</v>
      </c>
      <c r="O7" s="11">
        <v>14.921117751287143</v>
      </c>
      <c r="P7" s="11">
        <f t="shared" si="1"/>
        <v>81.1003409024826</v>
      </c>
      <c r="T7" t="s">
        <v>37</v>
      </c>
      <c r="U7">
        <v>59</v>
      </c>
      <c r="V7">
        <v>30</v>
      </c>
    </row>
    <row r="8" spans="1:25" x14ac:dyDescent="0.35">
      <c r="B8" s="4">
        <v>73.282928369999993</v>
      </c>
      <c r="C8" s="4">
        <v>23.271826999999998</v>
      </c>
      <c r="D8" s="6">
        <f t="shared" si="2"/>
        <v>96.554755369999995</v>
      </c>
      <c r="H8" s="12">
        <v>61.867834000000002</v>
      </c>
      <c r="I8" s="12">
        <v>30.567889999999998</v>
      </c>
      <c r="J8" s="12">
        <f t="shared" si="0"/>
        <v>92.435723999999993</v>
      </c>
      <c r="N8" s="11">
        <v>66.812650000000005</v>
      </c>
      <c r="O8" s="11">
        <v>28.287649999999999</v>
      </c>
      <c r="P8" s="11">
        <f t="shared" si="1"/>
        <v>95.100300000000004</v>
      </c>
      <c r="T8" t="s">
        <v>38</v>
      </c>
      <c r="U8">
        <v>58</v>
      </c>
      <c r="V8">
        <v>33</v>
      </c>
    </row>
    <row r="9" spans="1:25" x14ac:dyDescent="0.35">
      <c r="A9" s="3" t="s">
        <v>7</v>
      </c>
      <c r="B9" s="4">
        <v>79.105117989580137</v>
      </c>
      <c r="C9" s="4">
        <v>24.356125749104422</v>
      </c>
      <c r="D9" s="6">
        <f t="shared" si="2"/>
        <v>103.46124373868456</v>
      </c>
      <c r="E9" s="27">
        <f>STDEV(D9:D11)</f>
        <v>9.7397645732316089</v>
      </c>
      <c r="G9" s="9" t="s">
        <v>7</v>
      </c>
      <c r="H9" s="12">
        <v>51.965570400822202</v>
      </c>
      <c r="I9" s="12">
        <v>40.251210653753027</v>
      </c>
      <c r="J9" s="12">
        <f t="shared" si="0"/>
        <v>92.216781054575222</v>
      </c>
      <c r="K9" s="27">
        <f>STDEV(J9:J11)</f>
        <v>7.9547390844569508</v>
      </c>
      <c r="M9" s="10" t="s">
        <v>7</v>
      </c>
      <c r="N9" s="11">
        <v>75.384897268923083</v>
      </c>
      <c r="O9" s="11">
        <v>26.534983890548592</v>
      </c>
      <c r="P9" s="11">
        <f t="shared" si="1"/>
        <v>101.91988115947167</v>
      </c>
      <c r="Q9" s="27">
        <f>STDEV(P9:P11)</f>
        <v>8.5846281913916886</v>
      </c>
      <c r="T9" t="s">
        <v>31</v>
      </c>
      <c r="U9" t="s">
        <v>1</v>
      </c>
      <c r="V9" t="s">
        <v>34</v>
      </c>
    </row>
    <row r="10" spans="1:25" x14ac:dyDescent="0.35">
      <c r="B10" s="4">
        <v>66.738620404791405</v>
      </c>
      <c r="C10" s="4">
        <v>18.868533663775899</v>
      </c>
      <c r="D10" s="6">
        <f t="shared" si="2"/>
        <v>85.607154068567297</v>
      </c>
      <c r="H10" s="12">
        <v>49.852238805970103</v>
      </c>
      <c r="I10" s="12">
        <v>26.456750822160298</v>
      </c>
      <c r="J10" s="12">
        <f t="shared" si="0"/>
        <v>76.308989628130405</v>
      </c>
      <c r="N10" s="11">
        <v>61.533548379193597</v>
      </c>
      <c r="O10" s="11">
        <v>24.990046271944443</v>
      </c>
      <c r="P10" s="11">
        <f t="shared" si="1"/>
        <v>86.52359465113804</v>
      </c>
      <c r="T10" t="s">
        <v>37</v>
      </c>
      <c r="U10">
        <v>62</v>
      </c>
      <c r="V10">
        <v>29</v>
      </c>
    </row>
    <row r="11" spans="1:25" x14ac:dyDescent="0.35">
      <c r="B11" s="4">
        <v>61.927297957175774</v>
      </c>
      <c r="C11" s="4">
        <v>25.860594300255386</v>
      </c>
      <c r="D11" s="6">
        <f t="shared" si="2"/>
        <v>87.787892257431167</v>
      </c>
      <c r="H11" s="12">
        <v>52.245671000000002</v>
      </c>
      <c r="I11" s="12">
        <v>32.217840000000002</v>
      </c>
      <c r="J11" s="12">
        <f t="shared" si="0"/>
        <v>84.463511000000011</v>
      </c>
      <c r="N11" s="11">
        <v>61.723784000000002</v>
      </c>
      <c r="O11" s="11">
        <v>25.91743</v>
      </c>
      <c r="P11" s="11">
        <f t="shared" si="1"/>
        <v>87.641214000000005</v>
      </c>
      <c r="T11" t="s">
        <v>38</v>
      </c>
      <c r="U11">
        <v>59</v>
      </c>
      <c r="V11">
        <v>37</v>
      </c>
    </row>
    <row r="12" spans="1:25" x14ac:dyDescent="0.35">
      <c r="B12" s="4">
        <f>AVERAGE(B3:B11)</f>
        <v>66.952950537093088</v>
      </c>
      <c r="C12" s="4">
        <f>AVERAGE(C3:C11)</f>
        <v>20.377491219808203</v>
      </c>
      <c r="D12" s="6"/>
      <c r="H12" s="4">
        <f>AVERAGE(H3:H11)</f>
        <v>58.05911117712904</v>
      </c>
      <c r="I12" s="4">
        <f>AVERAGE(I3:I11)</f>
        <v>33.124730458313763</v>
      </c>
      <c r="J12" s="12"/>
      <c r="N12" s="11"/>
      <c r="O12" s="11"/>
      <c r="P12" s="11"/>
    </row>
    <row r="13" spans="1:25" x14ac:dyDescent="0.35">
      <c r="A13" s="1" t="s">
        <v>8</v>
      </c>
      <c r="B13" s="2" t="s">
        <v>1</v>
      </c>
      <c r="C13" s="2" t="s">
        <v>2</v>
      </c>
      <c r="D13" s="2" t="s">
        <v>3</v>
      </c>
      <c r="E13" s="26"/>
      <c r="G13" s="1" t="s">
        <v>12</v>
      </c>
      <c r="H13" s="7" t="s">
        <v>1</v>
      </c>
      <c r="I13" s="7" t="s">
        <v>2</v>
      </c>
      <c r="J13" s="7" t="s">
        <v>3</v>
      </c>
      <c r="K13" s="26"/>
      <c r="M13" s="1" t="s">
        <v>16</v>
      </c>
      <c r="N13" s="2" t="s">
        <v>1</v>
      </c>
      <c r="O13" s="2" t="s">
        <v>2</v>
      </c>
      <c r="P13" s="2" t="s">
        <v>3</v>
      </c>
      <c r="Q13" s="26"/>
    </row>
    <row r="14" spans="1:25" x14ac:dyDescent="0.35">
      <c r="A14" s="3" t="s">
        <v>4</v>
      </c>
      <c r="B14" s="4">
        <v>52.136943387782495</v>
      </c>
      <c r="C14" s="4">
        <v>24.188737311101889</v>
      </c>
      <c r="D14" s="6">
        <f>SUM(B14:C14)</f>
        <v>76.325680698884383</v>
      </c>
      <c r="E14" s="27">
        <f>STDEV(D14:D16)</f>
        <v>7.1852829116663663</v>
      </c>
      <c r="G14" s="9" t="s">
        <v>4</v>
      </c>
      <c r="H14" s="12">
        <v>62</v>
      </c>
      <c r="I14" s="12">
        <v>16.937033898305074</v>
      </c>
      <c r="J14" s="12">
        <f>SUM(H14:I14)</f>
        <v>78.937033898305074</v>
      </c>
      <c r="K14" s="27">
        <f>STDEV(J14:J16)</f>
        <v>8.5314999034685108</v>
      </c>
      <c r="M14" s="10" t="s">
        <v>4</v>
      </c>
      <c r="N14" s="11">
        <v>53.063956655451392</v>
      </c>
      <c r="O14" s="11">
        <v>23.507161047153936</v>
      </c>
      <c r="P14" s="11">
        <f>SUM(N14:O14)</f>
        <v>76.571117702605335</v>
      </c>
      <c r="Q14" s="27">
        <f>STDEV(P14:P16)</f>
        <v>7.2464655486892049</v>
      </c>
      <c r="T14" t="s">
        <v>36</v>
      </c>
      <c r="U14" t="s">
        <v>1</v>
      </c>
      <c r="V14" t="s">
        <v>34</v>
      </c>
    </row>
    <row r="15" spans="1:25" x14ac:dyDescent="0.35">
      <c r="B15" s="4">
        <v>56.218906075740669</v>
      </c>
      <c r="C15" s="4">
        <v>19.875876204140184</v>
      </c>
      <c r="D15" s="6">
        <f t="shared" ref="D15:D22" si="3">SUM(B15:C15)</f>
        <v>76.09478227988086</v>
      </c>
      <c r="H15" s="12">
        <v>59.047619047619037</v>
      </c>
      <c r="I15" s="12">
        <v>26.271186440677962</v>
      </c>
      <c r="J15" s="12">
        <f t="shared" ref="J15:J22" si="4">SUM(H15:I15)</f>
        <v>85.318805488297002</v>
      </c>
      <c r="N15" s="11">
        <v>56.502135663233354</v>
      </c>
      <c r="O15" s="11">
        <v>20.516217270268065</v>
      </c>
      <c r="P15" s="11">
        <f t="shared" ref="P15:P22" si="5">SUM(N15:O15)</f>
        <v>77.018352933501419</v>
      </c>
      <c r="T15" t="s">
        <v>37</v>
      </c>
      <c r="U15">
        <v>59</v>
      </c>
      <c r="V15">
        <v>30</v>
      </c>
    </row>
    <row r="16" spans="1:25" x14ac:dyDescent="0.35">
      <c r="B16" s="4">
        <v>63.866999999999997</v>
      </c>
      <c r="C16" s="4">
        <v>24.786899999999999</v>
      </c>
      <c r="D16" s="6">
        <f t="shared" si="3"/>
        <v>88.653899999999993</v>
      </c>
      <c r="H16" s="12">
        <v>66.556782350000006</v>
      </c>
      <c r="I16" s="12">
        <v>29.275670000000002</v>
      </c>
      <c r="J16" s="12">
        <f t="shared" si="4"/>
        <v>95.832452350000011</v>
      </c>
      <c r="N16" s="11">
        <v>61.726554319999998</v>
      </c>
      <c r="O16" s="11">
        <v>27.61345</v>
      </c>
      <c r="P16" s="11">
        <f t="shared" si="5"/>
        <v>89.340004319999991</v>
      </c>
      <c r="T16" t="s">
        <v>38</v>
      </c>
      <c r="U16">
        <v>58</v>
      </c>
      <c r="V16">
        <v>33</v>
      </c>
    </row>
    <row r="17" spans="1:22" x14ac:dyDescent="0.35">
      <c r="A17" s="3" t="s">
        <v>6</v>
      </c>
      <c r="B17" s="4">
        <v>67.873303167420815</v>
      </c>
      <c r="C17" s="4">
        <v>21.177315571779236</v>
      </c>
      <c r="D17" s="6">
        <f t="shared" si="3"/>
        <v>89.050618739200047</v>
      </c>
      <c r="E17" s="27">
        <f>STDEV(D17:D19)</f>
        <v>9.0772217445114673</v>
      </c>
      <c r="G17" s="9" t="s">
        <v>6</v>
      </c>
      <c r="H17" s="12">
        <v>51.842646453963212</v>
      </c>
      <c r="I17" s="12">
        <v>25.443406779661004</v>
      </c>
      <c r="J17" s="12">
        <f t="shared" si="4"/>
        <v>77.286053233624216</v>
      </c>
      <c r="K17" s="27">
        <f>STDEV(J17:J19)</f>
        <v>6.7997452958583908</v>
      </c>
      <c r="M17" s="10" t="s">
        <v>6</v>
      </c>
      <c r="N17" s="11">
        <v>66.206580147125024</v>
      </c>
      <c r="O17" s="11">
        <v>21.620865237270408</v>
      </c>
      <c r="P17" s="11">
        <f t="shared" si="5"/>
        <v>87.827445384395432</v>
      </c>
      <c r="Q17" s="27">
        <f>STDEV(P17:P19)</f>
        <v>7.1405020005563067</v>
      </c>
    </row>
    <row r="18" spans="1:22" x14ac:dyDescent="0.35">
      <c r="B18" s="4">
        <v>63.084187585761576</v>
      </c>
      <c r="C18" s="4">
        <v>24.0534130266307</v>
      </c>
      <c r="D18" s="6">
        <f t="shared" si="3"/>
        <v>87.137600612392276</v>
      </c>
      <c r="H18" s="12">
        <v>53.215500000000006</v>
      </c>
      <c r="I18" s="12">
        <v>34.198070338983051</v>
      </c>
      <c r="J18" s="12">
        <f t="shared" si="4"/>
        <v>87.41357033898305</v>
      </c>
      <c r="N18" s="11">
        <v>61.927297957175774</v>
      </c>
      <c r="O18" s="11">
        <v>25.860594300255386</v>
      </c>
      <c r="P18" s="11">
        <f t="shared" si="5"/>
        <v>87.787892257431167</v>
      </c>
    </row>
    <row r="19" spans="1:22" x14ac:dyDescent="0.35">
      <c r="B19" s="4">
        <v>76.974849000000006</v>
      </c>
      <c r="C19" s="4">
        <v>26.753938000000002</v>
      </c>
      <c r="D19" s="6">
        <f t="shared" si="3"/>
        <v>103.72878700000001</v>
      </c>
      <c r="H19" s="12">
        <v>51.253755599999998</v>
      </c>
      <c r="I19" s="12">
        <v>23.23573455</v>
      </c>
      <c r="J19" s="12">
        <f t="shared" si="4"/>
        <v>74.489490149999995</v>
      </c>
      <c r="N19" s="11">
        <v>55.381574000000001</v>
      </c>
      <c r="O19" s="11">
        <v>20.058430000000001</v>
      </c>
      <c r="P19" s="11">
        <f t="shared" si="5"/>
        <v>75.440004000000002</v>
      </c>
      <c r="T19" t="s">
        <v>31</v>
      </c>
      <c r="U19" t="s">
        <v>1</v>
      </c>
      <c r="V19" t="s">
        <v>34</v>
      </c>
    </row>
    <row r="20" spans="1:22" x14ac:dyDescent="0.35">
      <c r="A20" s="3" t="s">
        <v>7</v>
      </c>
      <c r="B20" s="4">
        <v>60.023904382470114</v>
      </c>
      <c r="C20" s="4">
        <v>28.021367973484207</v>
      </c>
      <c r="D20" s="6">
        <f t="shared" si="3"/>
        <v>88.045272355954324</v>
      </c>
      <c r="E20" s="27">
        <f>STDEV(D20:D22)</f>
        <v>8.1196357335402372</v>
      </c>
      <c r="G20" s="9" t="s">
        <v>7</v>
      </c>
      <c r="H20" s="12">
        <v>65</v>
      </c>
      <c r="I20" s="12">
        <v>47.006658595641653</v>
      </c>
      <c r="J20" s="12">
        <f t="shared" si="4"/>
        <v>112.00665859564165</v>
      </c>
      <c r="K20" s="27">
        <f>STDEV(J20:J22)</f>
        <v>10.068008819871563</v>
      </c>
      <c r="M20" s="10" t="s">
        <v>7</v>
      </c>
      <c r="N20" s="11">
        <v>60.706015016914648</v>
      </c>
      <c r="O20" s="11">
        <v>30.623823719264692</v>
      </c>
      <c r="P20" s="11">
        <f t="shared" si="5"/>
        <v>91.32983873617934</v>
      </c>
      <c r="Q20" s="27">
        <f>STDEV(P20:P22)</f>
        <v>8.066034612403115</v>
      </c>
      <c r="T20" t="s">
        <v>37</v>
      </c>
      <c r="U20">
        <v>62</v>
      </c>
      <c r="V20">
        <v>29</v>
      </c>
    </row>
    <row r="21" spans="1:22" x14ac:dyDescent="0.35">
      <c r="B21" s="4">
        <v>55.297397769516721</v>
      </c>
      <c r="C21" s="4">
        <v>27.880049566294911</v>
      </c>
      <c r="D21" s="6">
        <f t="shared" si="3"/>
        <v>83.177447335811635</v>
      </c>
      <c r="H21" s="12">
        <v>68.134328358208947</v>
      </c>
      <c r="I21" s="12">
        <v>34.523632684037445</v>
      </c>
      <c r="J21" s="12">
        <f t="shared" si="4"/>
        <v>102.6579610422464</v>
      </c>
      <c r="N21" s="11">
        <v>56.610161943728258</v>
      </c>
      <c r="O21" s="11">
        <v>28.559453248126111</v>
      </c>
      <c r="P21" s="11">
        <f t="shared" si="5"/>
        <v>85.169615191854376</v>
      </c>
      <c r="T21" t="s">
        <v>38</v>
      </c>
      <c r="U21">
        <v>59</v>
      </c>
      <c r="V21">
        <v>37</v>
      </c>
    </row>
    <row r="22" spans="1:22" x14ac:dyDescent="0.35">
      <c r="B22" s="4">
        <v>53.206545800000001</v>
      </c>
      <c r="C22" s="4">
        <v>18.987897</v>
      </c>
      <c r="D22" s="6">
        <f t="shared" si="3"/>
        <v>72.194442800000004</v>
      </c>
      <c r="H22" s="12">
        <v>58.273645000000002</v>
      </c>
      <c r="I22" s="12">
        <v>33.613737</v>
      </c>
      <c r="J22" s="12">
        <f t="shared" si="4"/>
        <v>91.887382000000002</v>
      </c>
      <c r="N22" s="11">
        <v>52.138455999999998</v>
      </c>
      <c r="O22" s="11">
        <v>23.199203835999999</v>
      </c>
      <c r="P22" s="11">
        <f t="shared" si="5"/>
        <v>75.337659836</v>
      </c>
    </row>
    <row r="23" spans="1:22" x14ac:dyDescent="0.35">
      <c r="B23" s="4">
        <f>AVERAGE(B14:B22)</f>
        <v>60.964781907632478</v>
      </c>
      <c r="C23" s="4">
        <f>AVERAGE(C14:C22)</f>
        <v>23.969499405936791</v>
      </c>
      <c r="D23" s="6"/>
      <c r="H23" s="4">
        <f>AVERAGE(H14:H22)</f>
        <v>59.480475201087906</v>
      </c>
      <c r="I23" s="4">
        <f>AVERAGE(I14:I22)</f>
        <v>30.056125587478466</v>
      </c>
      <c r="J23" s="12"/>
      <c r="N23" s="11"/>
      <c r="O23" s="11"/>
      <c r="P23" s="11"/>
    </row>
    <row r="24" spans="1:22" x14ac:dyDescent="0.35">
      <c r="A24" s="1" t="s">
        <v>9</v>
      </c>
      <c r="B24" s="2" t="s">
        <v>1</v>
      </c>
      <c r="C24" s="2" t="s">
        <v>2</v>
      </c>
      <c r="D24" s="2" t="s">
        <v>3</v>
      </c>
      <c r="E24" s="26"/>
      <c r="G24" s="1" t="s">
        <v>13</v>
      </c>
      <c r="H24" s="7" t="s">
        <v>1</v>
      </c>
      <c r="I24" s="7" t="s">
        <v>2</v>
      </c>
      <c r="J24" s="7" t="s">
        <v>3</v>
      </c>
      <c r="K24" s="26"/>
      <c r="M24" s="1" t="s">
        <v>17</v>
      </c>
      <c r="N24" s="2" t="s">
        <v>1</v>
      </c>
      <c r="O24" s="2" t="s">
        <v>2</v>
      </c>
      <c r="P24" s="2" t="s">
        <v>3</v>
      </c>
      <c r="Q24" s="26"/>
    </row>
    <row r="25" spans="1:22" x14ac:dyDescent="0.35">
      <c r="A25" s="3" t="s">
        <v>4</v>
      </c>
      <c r="B25" s="4">
        <v>67.684756097560978</v>
      </c>
      <c r="C25" s="4">
        <v>15.072539454806305</v>
      </c>
      <c r="D25" s="6">
        <f>SUM(B25:C25)</f>
        <v>82.757295552367282</v>
      </c>
      <c r="E25" s="27">
        <f>STDEV(D25:D27)</f>
        <v>7.8378792874130117</v>
      </c>
      <c r="G25" s="9" t="s">
        <v>4</v>
      </c>
      <c r="H25" s="12">
        <v>48.766494549627076</v>
      </c>
      <c r="I25" s="12">
        <v>29.806537530266379</v>
      </c>
      <c r="J25" s="12">
        <f>SUM(H25:I25)</f>
        <v>78.573032079893451</v>
      </c>
      <c r="K25" s="27">
        <f>STDEV(J25:J27)</f>
        <v>6.8260729875064321</v>
      </c>
      <c r="M25" s="10" t="s">
        <v>4</v>
      </c>
      <c r="N25" s="11">
        <v>65.790533718843619</v>
      </c>
      <c r="O25" s="11">
        <v>16.547805499299866</v>
      </c>
      <c r="P25" s="11">
        <f>SUM(N25:O25)</f>
        <v>82.338339218143489</v>
      </c>
      <c r="Q25" s="27">
        <f>STDEV(P25:P27)</f>
        <v>9.1599167674160658</v>
      </c>
    </row>
    <row r="26" spans="1:22" x14ac:dyDescent="0.35">
      <c r="B26" s="4">
        <v>52.42638351097095</v>
      </c>
      <c r="C26" s="4">
        <v>23.150417890733497</v>
      </c>
      <c r="D26" s="6">
        <v>75.576801401704444</v>
      </c>
      <c r="H26" s="12">
        <v>59.414738370000002</v>
      </c>
      <c r="I26" s="12">
        <v>28.652542372881399</v>
      </c>
      <c r="J26" s="12">
        <f>SUM(H26:I26)</f>
        <v>88.067280742881394</v>
      </c>
      <c r="N26" s="11">
        <v>53.608158062834711</v>
      </c>
      <c r="O26" s="11">
        <v>25.641311128224491</v>
      </c>
      <c r="P26" s="11">
        <f t="shared" ref="P26:P33" si="6">SUM(N26:O26)</f>
        <v>79.249469191059205</v>
      </c>
    </row>
    <row r="27" spans="1:22" x14ac:dyDescent="0.35">
      <c r="B27" s="4">
        <v>69.406273799999994</v>
      </c>
      <c r="C27" s="4">
        <v>21.828393869999999</v>
      </c>
      <c r="D27" s="6">
        <f t="shared" ref="D27:D31" si="7">SUM(B27:C27)</f>
        <v>91.234667669999993</v>
      </c>
      <c r="H27" s="12">
        <v>54.3948757</v>
      </c>
      <c r="I27" s="12">
        <v>20.4293847</v>
      </c>
      <c r="J27" s="12">
        <f t="shared" ref="J27:J33" si="8">SUM(H27:I27)</f>
        <v>74.8242604</v>
      </c>
      <c r="N27" s="11">
        <v>67.829383759999999</v>
      </c>
      <c r="O27" s="11">
        <v>28.60281917</v>
      </c>
      <c r="P27" s="11">
        <f t="shared" si="6"/>
        <v>96.432202930000003</v>
      </c>
    </row>
    <row r="28" spans="1:22" x14ac:dyDescent="0.35">
      <c r="A28" s="3" t="s">
        <v>6</v>
      </c>
      <c r="B28" s="4">
        <v>67.737670514165785</v>
      </c>
      <c r="C28" s="4">
        <v>13.934415571055277</v>
      </c>
      <c r="D28" s="6">
        <f t="shared" si="7"/>
        <v>81.672086085221068</v>
      </c>
      <c r="E28" s="27">
        <f>STDEV(D28:D30)</f>
        <v>9.3139008781848407</v>
      </c>
      <c r="G28" s="9" t="s">
        <v>6</v>
      </c>
      <c r="H28" s="12">
        <v>54.443550000000009</v>
      </c>
      <c r="I28" s="12">
        <v>22.351342576271239</v>
      </c>
      <c r="J28" s="12">
        <f t="shared" si="8"/>
        <v>76.794892576271252</v>
      </c>
      <c r="K28" s="27">
        <f>STDEV(J28:J30)</f>
        <v>8.495083058335279</v>
      </c>
      <c r="M28" s="10" t="s">
        <v>6</v>
      </c>
      <c r="N28" s="11">
        <v>66.179223151195458</v>
      </c>
      <c r="O28" s="11">
        <v>14.921117751287143</v>
      </c>
      <c r="P28" s="11">
        <f t="shared" si="6"/>
        <v>81.1003409024826</v>
      </c>
      <c r="Q28" s="27">
        <f>STDEV(P28:P30)</f>
        <v>8.2564902762461347</v>
      </c>
    </row>
    <row r="29" spans="1:22" x14ac:dyDescent="0.35">
      <c r="B29" s="4">
        <v>63.34841628959277</v>
      </c>
      <c r="C29" s="4">
        <v>19.853733348543031</v>
      </c>
      <c r="D29" s="6">
        <f t="shared" ref="D29" si="9">SUM(B29:C29)</f>
        <v>83.202149638135808</v>
      </c>
      <c r="H29" s="12">
        <v>54.733870967741915</v>
      </c>
      <c r="I29" s="12">
        <v>29.372860169491528</v>
      </c>
      <c r="J29" s="12">
        <f t="shared" si="8"/>
        <v>84.106731137233439</v>
      </c>
      <c r="N29" s="11">
        <v>62.452753606899513</v>
      </c>
      <c r="O29" s="11">
        <v>20.843446252336342</v>
      </c>
      <c r="P29" s="11">
        <f t="shared" si="6"/>
        <v>83.296199859235855</v>
      </c>
    </row>
    <row r="30" spans="1:22" x14ac:dyDescent="0.35">
      <c r="B30" s="4">
        <v>74.542928369999998</v>
      </c>
      <c r="C30" s="4">
        <v>23.971827000000001</v>
      </c>
      <c r="D30" s="6">
        <f t="shared" si="7"/>
        <v>98.514755370000003</v>
      </c>
      <c r="H30" s="12">
        <v>65.464566000000005</v>
      </c>
      <c r="I30" s="12">
        <v>28.267890000000001</v>
      </c>
      <c r="J30" s="12">
        <f t="shared" si="8"/>
        <v>93.732456000000013</v>
      </c>
      <c r="N30" s="11">
        <v>68.234567200000001</v>
      </c>
      <c r="O30" s="11">
        <v>28.137360000000001</v>
      </c>
      <c r="P30" s="11">
        <f t="shared" si="6"/>
        <v>96.371927200000002</v>
      </c>
    </row>
    <row r="31" spans="1:22" x14ac:dyDescent="0.35">
      <c r="A31" s="3" t="s">
        <v>7</v>
      </c>
      <c r="B31" s="4">
        <v>51.538620404791402</v>
      </c>
      <c r="C31" s="4">
        <v>24.868533663775903</v>
      </c>
      <c r="D31" s="6">
        <f t="shared" si="7"/>
        <v>76.407154068567309</v>
      </c>
      <c r="E31" s="27">
        <f>STDEV(D31:D33)</f>
        <v>6.4940555904195403</v>
      </c>
      <c r="G31" s="9" t="s">
        <v>7</v>
      </c>
      <c r="H31" s="12">
        <v>49.552238805970148</v>
      </c>
      <c r="I31" s="12">
        <v>26.056750822160325</v>
      </c>
      <c r="J31" s="12">
        <f t="shared" si="8"/>
        <v>75.608989628130473</v>
      </c>
      <c r="K31" s="27">
        <f>STDEV(J31:J33)</f>
        <v>7.3319566037285133</v>
      </c>
      <c r="M31" s="10" t="s">
        <v>7</v>
      </c>
      <c r="N31" s="11">
        <v>51.335483791936099</v>
      </c>
      <c r="O31" s="11">
        <v>24.990046271944443</v>
      </c>
      <c r="P31" s="11">
        <f t="shared" si="6"/>
        <v>76.325530063880535</v>
      </c>
      <c r="Q31" s="27">
        <f>STDEV(P31:P33)</f>
        <v>7.6338311138032733</v>
      </c>
    </row>
    <row r="32" spans="1:22" x14ac:dyDescent="0.35">
      <c r="B32" s="4">
        <v>66.805117989580097</v>
      </c>
      <c r="C32" s="4">
        <v>22.3561257491044</v>
      </c>
      <c r="D32" s="6">
        <f t="shared" ref="D32:D33" si="10">SUM(B32:C32)</f>
        <v>89.161243738684504</v>
      </c>
      <c r="H32" s="12">
        <v>51.500557040082199</v>
      </c>
      <c r="I32" s="12">
        <v>38.771210653753002</v>
      </c>
      <c r="J32" s="12">
        <f t="shared" si="8"/>
        <v>90.271767693835201</v>
      </c>
      <c r="N32" s="11">
        <v>55.744897268923097</v>
      </c>
      <c r="O32" s="11">
        <v>25.349838905485999</v>
      </c>
      <c r="P32" s="11">
        <f t="shared" si="6"/>
        <v>81.094736174409093</v>
      </c>
    </row>
    <row r="33" spans="1:17" x14ac:dyDescent="0.35">
      <c r="B33" s="4">
        <v>57.374656000000002</v>
      </c>
      <c r="C33" s="4">
        <v>23.283943799999999</v>
      </c>
      <c r="D33" s="6">
        <f t="shared" si="10"/>
        <v>80.658599800000005</v>
      </c>
      <c r="H33" s="12">
        <v>51.245567700000002</v>
      </c>
      <c r="I33" s="12">
        <v>31.536799999999999</v>
      </c>
      <c r="J33" s="12">
        <f t="shared" si="8"/>
        <v>82.782367700000009</v>
      </c>
      <c r="N33" s="11">
        <v>62.836827360000001</v>
      </c>
      <c r="O33" s="11">
        <v>28.433844650000001</v>
      </c>
      <c r="P33" s="11">
        <f t="shared" si="6"/>
        <v>91.270672009999998</v>
      </c>
    </row>
    <row r="34" spans="1:17" x14ac:dyDescent="0.35">
      <c r="A34" s="1" t="s">
        <v>10</v>
      </c>
      <c r="B34" s="2" t="s">
        <v>1</v>
      </c>
      <c r="C34" s="2" t="s">
        <v>2</v>
      </c>
      <c r="D34" s="2" t="s">
        <v>3</v>
      </c>
      <c r="E34" s="26"/>
      <c r="G34" s="1" t="s">
        <v>14</v>
      </c>
      <c r="H34" s="7" t="s">
        <v>1</v>
      </c>
      <c r="I34" s="7" t="s">
        <v>2</v>
      </c>
      <c r="J34" s="7" t="s">
        <v>3</v>
      </c>
      <c r="K34" s="26"/>
      <c r="M34" s="1" t="s">
        <v>18</v>
      </c>
      <c r="N34" s="2" t="s">
        <v>1</v>
      </c>
      <c r="O34" s="2" t="s">
        <v>2</v>
      </c>
      <c r="P34" s="2" t="s">
        <v>3</v>
      </c>
      <c r="Q34" s="26"/>
    </row>
    <row r="35" spans="1:17" x14ac:dyDescent="0.35">
      <c r="A35" s="3" t="s">
        <v>4</v>
      </c>
      <c r="B35" s="4">
        <v>56.218906075740669</v>
      </c>
      <c r="C35" s="4">
        <v>19.875876204140184</v>
      </c>
      <c r="D35" s="6">
        <f>SUM(B35:C35)</f>
        <v>76.09478227988086</v>
      </c>
      <c r="E35" s="27">
        <f>STDEV(D35:D37)</f>
        <v>7.7641924877795132</v>
      </c>
      <c r="G35" s="9" t="s">
        <v>4</v>
      </c>
      <c r="H35" s="12">
        <v>59.047619047619037</v>
      </c>
      <c r="I35" s="12">
        <v>26.271186440677962</v>
      </c>
      <c r="J35" s="12">
        <f>SUM(H35:I35)</f>
        <v>85.318805488297002</v>
      </c>
      <c r="K35" s="27">
        <f>STDEV(J35:J37)</f>
        <v>7.1906131177287005</v>
      </c>
      <c r="M35" s="10" t="s">
        <v>4</v>
      </c>
      <c r="N35" s="11">
        <v>56.502135663233354</v>
      </c>
      <c r="O35" s="11">
        <v>20.516217270268065</v>
      </c>
      <c r="P35" s="11">
        <f>SUM(N35:O35)</f>
        <v>77.018352933501419</v>
      </c>
      <c r="Q35" s="27">
        <f>STDEV(P35:P37)</f>
        <v>6.9183368425418852</v>
      </c>
    </row>
    <row r="36" spans="1:17" x14ac:dyDescent="0.35">
      <c r="B36" s="4">
        <v>52.136943387782495</v>
      </c>
      <c r="C36" s="4">
        <v>24.188737311101889</v>
      </c>
      <c r="D36" s="6">
        <f t="shared" ref="D36:D43" si="11">SUM(B36:C36)</f>
        <v>76.325680698884383</v>
      </c>
      <c r="H36" s="12">
        <v>62</v>
      </c>
      <c r="I36" s="12">
        <v>16.937033898305074</v>
      </c>
      <c r="J36" s="12">
        <f t="shared" ref="J36:J43" si="12">SUM(H36:I36)</f>
        <v>78.937033898305074</v>
      </c>
      <c r="N36" s="11">
        <v>53.063956655451392</v>
      </c>
      <c r="O36" s="11">
        <v>23.507161047153936</v>
      </c>
      <c r="P36" s="11">
        <f t="shared" ref="P36:P43" si="13">SUM(N36:O36)</f>
        <v>76.571117702605335</v>
      </c>
    </row>
    <row r="37" spans="1:17" x14ac:dyDescent="0.35">
      <c r="B37" s="4">
        <v>68.127336</v>
      </c>
      <c r="C37" s="4">
        <v>21.5293846</v>
      </c>
      <c r="D37" s="6">
        <f t="shared" si="11"/>
        <v>89.6567206</v>
      </c>
      <c r="H37" s="12">
        <v>49.928374599999998</v>
      </c>
      <c r="I37" s="12">
        <v>21.038474600000001</v>
      </c>
      <c r="J37" s="12">
        <f t="shared" si="12"/>
        <v>70.966849199999999</v>
      </c>
      <c r="N37" s="11">
        <v>59.467446453599997</v>
      </c>
      <c r="O37" s="11">
        <v>29.303938625000001</v>
      </c>
      <c r="P37" s="11">
        <f t="shared" si="13"/>
        <v>88.771385078599991</v>
      </c>
    </row>
    <row r="38" spans="1:17" x14ac:dyDescent="0.35">
      <c r="A38" s="3" t="s">
        <v>6</v>
      </c>
      <c r="B38" s="4">
        <v>63.084187585761576</v>
      </c>
      <c r="C38" s="4">
        <v>24.753413026630717</v>
      </c>
      <c r="D38" s="6">
        <f t="shared" si="11"/>
        <v>87.837600612392293</v>
      </c>
      <c r="E38" s="27">
        <f>STDEV(D38:D40)</f>
        <v>6.9778307348314836</v>
      </c>
      <c r="G38" s="9" t="s">
        <v>6</v>
      </c>
      <c r="H38" s="12">
        <v>53.215500000000006</v>
      </c>
      <c r="I38" s="12">
        <v>34.198070338983051</v>
      </c>
      <c r="J38" s="12">
        <f t="shared" si="12"/>
        <v>87.41357033898305</v>
      </c>
      <c r="K38" s="27">
        <f>STDEV(J38:J40)</f>
        <v>9.0377507923573184</v>
      </c>
      <c r="M38" s="10" t="s">
        <v>6</v>
      </c>
      <c r="N38" s="11">
        <v>61.927297957175774</v>
      </c>
      <c r="O38" s="11">
        <v>25.860594300255386</v>
      </c>
      <c r="P38" s="11">
        <f t="shared" si="13"/>
        <v>87.787892257431167</v>
      </c>
      <c r="Q38" s="27">
        <f>STDEV(P38:P40)</f>
        <v>8.1747882785363668</v>
      </c>
    </row>
    <row r="39" spans="1:17" x14ac:dyDescent="0.35">
      <c r="B39" s="4">
        <v>67.873303167420815</v>
      </c>
      <c r="C39" s="4">
        <v>21.177315571779236</v>
      </c>
      <c r="D39" s="6">
        <f t="shared" si="11"/>
        <v>89.050618739200047</v>
      </c>
      <c r="H39" s="12">
        <v>51.842646453963212</v>
      </c>
      <c r="I39" s="12">
        <v>25.443406779661004</v>
      </c>
      <c r="J39" s="12">
        <f t="shared" si="12"/>
        <v>77.286053233624216</v>
      </c>
      <c r="N39" s="11">
        <v>66.206580147125024</v>
      </c>
      <c r="O39" s="11">
        <v>21.620865237270408</v>
      </c>
      <c r="P39" s="11">
        <f t="shared" si="13"/>
        <v>87.827445384395432</v>
      </c>
    </row>
    <row r="40" spans="1:17" x14ac:dyDescent="0.35">
      <c r="B40" s="4">
        <v>57.614460000000001</v>
      </c>
      <c r="C40" s="4">
        <v>18.789433500000001</v>
      </c>
      <c r="D40" s="6">
        <f t="shared" si="11"/>
        <v>76.403893500000009</v>
      </c>
      <c r="H40" s="12">
        <v>63.388474600000002</v>
      </c>
      <c r="I40" s="12">
        <v>31.927364570000002</v>
      </c>
      <c r="J40" s="12">
        <f t="shared" si="12"/>
        <v>95.315839170000004</v>
      </c>
      <c r="N40" s="11">
        <v>68.482938376500002</v>
      </c>
      <c r="O40" s="11">
        <v>33.483837649999998</v>
      </c>
      <c r="P40" s="11">
        <f>SUM(N40:O40)</f>
        <v>101.9667760265</v>
      </c>
    </row>
    <row r="41" spans="1:17" x14ac:dyDescent="0.35">
      <c r="A41" s="3" t="s">
        <v>7</v>
      </c>
      <c r="B41" s="4">
        <v>55.297397769516721</v>
      </c>
      <c r="C41" s="4">
        <v>27.880049566294911</v>
      </c>
      <c r="D41" s="6">
        <f t="shared" si="11"/>
        <v>83.177447335811635</v>
      </c>
      <c r="E41" s="27">
        <f>STDEV(D41:D43)</f>
        <v>8.1289759249821856</v>
      </c>
      <c r="G41" s="9" t="s">
        <v>7</v>
      </c>
      <c r="H41" s="12">
        <v>68.134328358208947</v>
      </c>
      <c r="I41" s="12">
        <v>34.523632684037445</v>
      </c>
      <c r="J41" s="12">
        <f t="shared" si="12"/>
        <v>102.6579610422464</v>
      </c>
      <c r="K41" s="27">
        <f>STDEV(J41:J43)</f>
        <v>8.6975468801742419</v>
      </c>
      <c r="M41" s="10" t="s">
        <v>7</v>
      </c>
      <c r="N41" s="11">
        <v>56.610161943728258</v>
      </c>
      <c r="O41" s="11">
        <v>28.559453248126111</v>
      </c>
      <c r="P41" s="11">
        <f t="shared" si="13"/>
        <v>85.169615191854376</v>
      </c>
      <c r="Q41" s="27">
        <f>STDEV(P41:P43)</f>
        <v>7.5801812055252462</v>
      </c>
    </row>
    <row r="42" spans="1:17" x14ac:dyDescent="0.35">
      <c r="B42" s="4">
        <v>60.023904382470114</v>
      </c>
      <c r="C42" s="4">
        <v>28.021367973484207</v>
      </c>
      <c r="D42" s="6">
        <f t="shared" si="11"/>
        <v>88.045272355954324</v>
      </c>
      <c r="H42" s="12">
        <v>65</v>
      </c>
      <c r="I42" s="12">
        <v>47.006658595641653</v>
      </c>
      <c r="J42" s="12">
        <f t="shared" si="12"/>
        <v>112.00665859564165</v>
      </c>
      <c r="N42" s="11">
        <v>60.706015016914648</v>
      </c>
      <c r="O42" s="11">
        <v>30.623823719264692</v>
      </c>
      <c r="P42" s="11">
        <f t="shared" si="13"/>
        <v>91.32983873617934</v>
      </c>
    </row>
    <row r="43" spans="1:17" x14ac:dyDescent="0.35">
      <c r="B43" s="4">
        <v>53.498942999999997</v>
      </c>
      <c r="C43" s="4">
        <v>18.678543300000001</v>
      </c>
      <c r="D43" s="6">
        <f t="shared" si="11"/>
        <v>72.177486299999998</v>
      </c>
      <c r="H43" s="12">
        <v>62.424746499999998</v>
      </c>
      <c r="I43" s="12">
        <v>32.203494847000002</v>
      </c>
      <c r="J43" s="12">
        <f t="shared" si="12"/>
        <v>94.628241346999999</v>
      </c>
      <c r="N43" s="11">
        <v>53.02938365</v>
      </c>
      <c r="O43" s="11">
        <v>23.223836500000001</v>
      </c>
      <c r="P43" s="11">
        <f t="shared" si="13"/>
        <v>76.253220150000004</v>
      </c>
    </row>
  </sheetData>
  <pageMargins left="0.7" right="0.7" top="0.75" bottom="0.75" header="0.3" footer="0.3"/>
  <pageSetup paperSize="9" orientation="portrait" horizontalDpi="200" verticalDpi="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F55E3-CAC8-4C6B-96A8-DEADD36F5333}">
  <dimension ref="A1:X20"/>
  <sheetViews>
    <sheetView workbookViewId="0">
      <selection activeCell="B18" sqref="B18:D20"/>
    </sheetView>
  </sheetViews>
  <sheetFormatPr defaultRowHeight="14.5" x14ac:dyDescent="0.35"/>
  <sheetData>
    <row r="1" spans="1:24" x14ac:dyDescent="0.35">
      <c r="A1" s="25" t="s">
        <v>30</v>
      </c>
    </row>
    <row r="2" spans="1:24" x14ac:dyDescent="0.35">
      <c r="B2" s="13" t="s">
        <v>19</v>
      </c>
      <c r="C2" s="14" t="s">
        <v>20</v>
      </c>
      <c r="I2" s="14" t="s">
        <v>21</v>
      </c>
      <c r="J2" s="15"/>
      <c r="K2" s="15"/>
      <c r="L2" s="15"/>
      <c r="M2" s="15"/>
      <c r="N2" s="15"/>
      <c r="O2" s="16" t="s">
        <v>22</v>
      </c>
      <c r="P2" s="15"/>
      <c r="Q2" s="15"/>
      <c r="R2" s="15"/>
      <c r="S2" s="15"/>
      <c r="T2" s="15"/>
      <c r="U2" s="16" t="s">
        <v>23</v>
      </c>
      <c r="V2" s="15"/>
      <c r="W2" s="15"/>
    </row>
    <row r="3" spans="1:24" x14ac:dyDescent="0.35">
      <c r="B3" s="1" t="s">
        <v>24</v>
      </c>
      <c r="C3" s="2" t="s">
        <v>1</v>
      </c>
      <c r="D3" s="2" t="s">
        <v>2</v>
      </c>
      <c r="E3" s="2" t="s">
        <v>3</v>
      </c>
      <c r="F3" s="2" t="s">
        <v>5</v>
      </c>
      <c r="G3" s="2"/>
      <c r="H3" s="2"/>
      <c r="I3" s="2" t="s">
        <v>1</v>
      </c>
      <c r="J3" s="2" t="s">
        <v>2</v>
      </c>
      <c r="K3" s="2" t="s">
        <v>3</v>
      </c>
      <c r="L3" s="2" t="s">
        <v>5</v>
      </c>
      <c r="M3" s="2"/>
      <c r="N3" s="17"/>
      <c r="O3" s="2" t="s">
        <v>1</v>
      </c>
      <c r="P3" s="2" t="s">
        <v>2</v>
      </c>
      <c r="Q3" s="2" t="s">
        <v>3</v>
      </c>
      <c r="R3" s="2" t="s">
        <v>5</v>
      </c>
      <c r="S3" s="2"/>
      <c r="T3" s="17"/>
      <c r="U3" s="2" t="s">
        <v>1</v>
      </c>
      <c r="V3" s="2" t="s">
        <v>2</v>
      </c>
      <c r="W3" s="2" t="s">
        <v>3</v>
      </c>
      <c r="X3" s="2" t="s">
        <v>5</v>
      </c>
    </row>
    <row r="4" spans="1:24" x14ac:dyDescent="0.35">
      <c r="B4" s="18" t="s">
        <v>4</v>
      </c>
      <c r="C4" s="8">
        <v>44.599303135888505</v>
      </c>
      <c r="D4" s="8">
        <v>32.57839721254355</v>
      </c>
      <c r="E4" s="8">
        <v>77.177700348432055</v>
      </c>
      <c r="F4" s="8">
        <f>STDEV(E4,K4,Q4)</f>
        <v>8.8610731540275367</v>
      </c>
      <c r="G4" s="8"/>
      <c r="H4" s="19" t="s">
        <v>4</v>
      </c>
      <c r="I4" s="8">
        <v>55.400696864111495</v>
      </c>
      <c r="J4" s="8">
        <v>39.37282229965156</v>
      </c>
      <c r="K4" s="8">
        <v>94.773519163763055</v>
      </c>
      <c r="L4" s="8">
        <f>STDEV(K4,Q4,W4)</f>
        <v>5.8727427967927905</v>
      </c>
      <c r="M4" s="8"/>
      <c r="N4" s="19" t="s">
        <v>4</v>
      </c>
      <c r="O4" s="20">
        <v>55.57491289198606</v>
      </c>
      <c r="P4" s="20">
        <v>32.229965156794428</v>
      </c>
      <c r="Q4" s="8">
        <v>87.804878048780495</v>
      </c>
      <c r="R4" s="8">
        <f>STDEV(E4,Q4,W4)</f>
        <v>11.153908224744988</v>
      </c>
      <c r="S4" s="8"/>
      <c r="T4" s="19" t="s">
        <v>4</v>
      </c>
      <c r="U4" s="20">
        <v>76.480836236933797</v>
      </c>
      <c r="V4" s="20">
        <v>22.99651567944251</v>
      </c>
      <c r="W4" s="8">
        <v>99.477351916376307</v>
      </c>
      <c r="X4" s="8">
        <f>STDEV(W4,E4,K4)</f>
        <v>11.754526379216806</v>
      </c>
    </row>
    <row r="5" spans="1:24" x14ac:dyDescent="0.35">
      <c r="B5" s="18" t="s">
        <v>6</v>
      </c>
      <c r="C5" s="8">
        <v>53.565768621236131</v>
      </c>
      <c r="D5" s="8">
        <v>34.389857369255154</v>
      </c>
      <c r="E5" s="8">
        <v>87.955625990491285</v>
      </c>
      <c r="F5" s="8">
        <f>STDEV(E5,K5,Q5)</f>
        <v>18.962546258172399</v>
      </c>
      <c r="G5" s="8"/>
      <c r="H5" s="19" t="s">
        <v>6</v>
      </c>
      <c r="I5" s="8">
        <v>72.266244057052305</v>
      </c>
      <c r="J5" s="8">
        <v>36.29160063391442</v>
      </c>
      <c r="K5" s="8">
        <v>108.55784469096673</v>
      </c>
      <c r="L5" s="8">
        <f t="shared" ref="L5:L6" si="0">STDEV(K5,Q5,W5)</f>
        <v>21.468051060481326</v>
      </c>
      <c r="M5" s="8"/>
      <c r="N5" s="19" t="s">
        <v>6</v>
      </c>
      <c r="O5" s="20">
        <v>43.42313787638669</v>
      </c>
      <c r="P5" s="20">
        <v>27.258320126782888</v>
      </c>
      <c r="Q5" s="8">
        <v>70.681458003169581</v>
      </c>
      <c r="R5" s="8">
        <f t="shared" ref="R5:R6" si="1">STDEV(E5,Q5,W5)</f>
        <v>18.233306193838011</v>
      </c>
      <c r="S5" s="8"/>
      <c r="T5" s="19" t="s">
        <v>6</v>
      </c>
      <c r="U5" s="20">
        <v>58.320126782884316</v>
      </c>
      <c r="V5" s="20">
        <v>48.811410459587961</v>
      </c>
      <c r="W5" s="8">
        <v>107.13153724247228</v>
      </c>
      <c r="X5" s="8">
        <f t="shared" ref="X5:X6" si="2">STDEV(W5,E5,K5)</f>
        <v>11.505081056238458</v>
      </c>
    </row>
    <row r="6" spans="1:24" x14ac:dyDescent="0.35">
      <c r="B6" s="18" t="s">
        <v>7</v>
      </c>
      <c r="C6" s="8">
        <v>77.850162866449523</v>
      </c>
      <c r="D6" s="8">
        <v>43.648208469055376</v>
      </c>
      <c r="E6" s="8">
        <v>121.4983713355049</v>
      </c>
      <c r="F6" s="8">
        <f>STDEV(E6,K6,Q6)</f>
        <v>9.5166607500735818</v>
      </c>
      <c r="G6" s="8"/>
      <c r="H6" s="19" t="s">
        <v>7</v>
      </c>
      <c r="I6" s="8">
        <v>68.078175895765469</v>
      </c>
      <c r="J6" s="8">
        <v>38.599348534201958</v>
      </c>
      <c r="K6" s="8">
        <v>106.67752442996743</v>
      </c>
      <c r="L6" s="8">
        <f t="shared" si="0"/>
        <v>8.9537055750355563</v>
      </c>
      <c r="M6" s="8"/>
      <c r="N6" s="19" t="s">
        <v>7</v>
      </c>
      <c r="O6" s="20">
        <v>73.615635179153088</v>
      </c>
      <c r="P6" s="20">
        <v>50.814332247557005</v>
      </c>
      <c r="Q6" s="8">
        <v>124.42996742671009</v>
      </c>
      <c r="R6" s="8">
        <f t="shared" si="1"/>
        <v>3.4318090400171672</v>
      </c>
      <c r="S6" s="8"/>
      <c r="T6" s="19" t="s">
        <v>7</v>
      </c>
      <c r="U6" s="20">
        <v>69.86970684039089</v>
      </c>
      <c r="V6" s="20">
        <v>47.719869706840399</v>
      </c>
      <c r="W6" s="8">
        <v>117.58957654723129</v>
      </c>
      <c r="X6" s="8">
        <f t="shared" si="2"/>
        <v>7.6812440518457787</v>
      </c>
    </row>
    <row r="7" spans="1:24" x14ac:dyDescent="0.35">
      <c r="B7" s="18"/>
      <c r="C7" s="8">
        <f>AVERAGE(C4:C6)</f>
        <v>58.671744874524713</v>
      </c>
      <c r="D7" s="8">
        <f>AVERAGE(D4:D6)</f>
        <v>36.872154350284696</v>
      </c>
      <c r="E7" s="8"/>
      <c r="F7" s="8"/>
      <c r="G7" s="8"/>
      <c r="H7" s="19"/>
      <c r="I7" s="8">
        <f>AVERAGE(I4:I6)</f>
        <v>65.248372272309766</v>
      </c>
      <c r="J7" s="8">
        <f>AVERAGE(J4:J6)</f>
        <v>38.087923822589318</v>
      </c>
      <c r="K7" s="8"/>
      <c r="L7" s="8"/>
      <c r="M7" s="8"/>
      <c r="N7" s="19"/>
      <c r="O7" s="8">
        <f>AVERAGE(O4:O6)</f>
        <v>57.537895315841943</v>
      </c>
      <c r="P7" s="8">
        <f>AVERAGE(P4:P6)</f>
        <v>36.767539177044775</v>
      </c>
      <c r="Q7" s="8"/>
      <c r="R7" s="8"/>
      <c r="S7" s="8"/>
      <c r="T7" s="19"/>
      <c r="U7" s="8">
        <f>AVERAGE(U4:U6)</f>
        <v>68.223556620069658</v>
      </c>
      <c r="V7" s="8">
        <f>AVERAGE(V4:V6)</f>
        <v>39.842598615290292</v>
      </c>
      <c r="W7" s="8"/>
      <c r="X7" s="8"/>
    </row>
    <row r="8" spans="1:24" x14ac:dyDescent="0.35">
      <c r="B8" s="18"/>
      <c r="C8" s="21" t="s">
        <v>25</v>
      </c>
      <c r="D8" s="21"/>
      <c r="E8" s="21"/>
      <c r="F8" s="21"/>
      <c r="G8" s="21"/>
      <c r="H8" s="21"/>
      <c r="I8" s="21" t="s">
        <v>26</v>
      </c>
      <c r="J8" s="21"/>
      <c r="K8" s="21"/>
      <c r="L8" s="21"/>
      <c r="M8" s="21"/>
      <c r="N8" s="22"/>
      <c r="O8" s="22" t="s">
        <v>27</v>
      </c>
      <c r="P8" s="22"/>
      <c r="Q8" s="21"/>
      <c r="R8" s="21"/>
      <c r="S8" s="21"/>
      <c r="T8" s="21"/>
      <c r="U8" s="22" t="s">
        <v>28</v>
      </c>
      <c r="V8" s="22"/>
      <c r="W8" s="21"/>
      <c r="X8" s="8"/>
    </row>
    <row r="9" spans="1:24" x14ac:dyDescent="0.35">
      <c r="B9" s="1" t="s">
        <v>29</v>
      </c>
      <c r="C9" s="7" t="s">
        <v>1</v>
      </c>
      <c r="D9" s="7" t="s">
        <v>2</v>
      </c>
      <c r="E9" s="7" t="s">
        <v>3</v>
      </c>
      <c r="F9" s="7"/>
      <c r="G9" s="7"/>
      <c r="H9" s="7"/>
      <c r="I9" s="7" t="s">
        <v>1</v>
      </c>
      <c r="J9" s="7" t="s">
        <v>2</v>
      </c>
      <c r="K9" s="7" t="s">
        <v>3</v>
      </c>
      <c r="L9" s="7"/>
      <c r="M9" s="7"/>
      <c r="N9" s="23"/>
      <c r="O9" s="7" t="s">
        <v>1</v>
      </c>
      <c r="P9" s="7" t="s">
        <v>2</v>
      </c>
      <c r="Q9" s="7" t="s">
        <v>3</v>
      </c>
      <c r="R9" s="7"/>
      <c r="S9" s="7"/>
      <c r="T9" s="23"/>
      <c r="U9" s="7" t="s">
        <v>1</v>
      </c>
      <c r="V9" s="7" t="s">
        <v>2</v>
      </c>
      <c r="W9" s="7" t="s">
        <v>3</v>
      </c>
      <c r="X9" s="24"/>
    </row>
    <row r="10" spans="1:24" x14ac:dyDescent="0.35">
      <c r="B10" s="18" t="s">
        <v>4</v>
      </c>
      <c r="C10" s="8">
        <v>56.718749999999993</v>
      </c>
      <c r="D10" s="8">
        <v>21.25</v>
      </c>
      <c r="E10" s="8">
        <v>77.96875</v>
      </c>
      <c r="F10" s="8">
        <f>STDEV(E10,K10,Q10)</f>
        <v>16.674151964942624</v>
      </c>
      <c r="G10" s="8"/>
      <c r="H10" s="19" t="s">
        <v>4</v>
      </c>
      <c r="I10" s="8">
        <v>66.875</v>
      </c>
      <c r="J10" s="8">
        <v>22.34375</v>
      </c>
      <c r="K10" s="8">
        <v>89.21875</v>
      </c>
      <c r="L10" s="8">
        <f>STDEV(K10,Q10,W10)</f>
        <v>10.844845645897102</v>
      </c>
      <c r="M10" s="8"/>
      <c r="N10" s="19" t="s">
        <v>4</v>
      </c>
      <c r="O10" s="20">
        <v>73.75</v>
      </c>
      <c r="P10" s="20">
        <v>37.03125</v>
      </c>
      <c r="Q10" s="8">
        <v>110.78125</v>
      </c>
      <c r="R10" s="8">
        <f>STDEV(E10,Q10,W10)</f>
        <v>16.536929947343125</v>
      </c>
      <c r="S10" s="8"/>
      <c r="T10" s="19" t="s">
        <v>4</v>
      </c>
      <c r="U10" s="20">
        <v>57.968749999999993</v>
      </c>
      <c r="V10" s="20">
        <v>40</v>
      </c>
      <c r="W10" s="8">
        <v>97.96875</v>
      </c>
      <c r="X10" s="8">
        <f>STDEV(W10,E10,K10)</f>
        <v>10.026007846263303</v>
      </c>
    </row>
    <row r="11" spans="1:24" x14ac:dyDescent="0.35">
      <c r="B11" s="18" t="s">
        <v>6</v>
      </c>
      <c r="C11" s="8">
        <v>68.189233278955953</v>
      </c>
      <c r="D11" s="8">
        <v>19.902120717781401</v>
      </c>
      <c r="E11" s="8">
        <v>88.091353996737354</v>
      </c>
      <c r="F11" s="8">
        <f t="shared" ref="F11:F12" si="3">STDEV(E11,K11,Q11)</f>
        <v>14.020192507922593</v>
      </c>
      <c r="G11" s="8"/>
      <c r="H11" s="19" t="s">
        <v>6</v>
      </c>
      <c r="I11" s="8">
        <v>70.636215334420882</v>
      </c>
      <c r="J11" s="8">
        <v>45.187601957585642</v>
      </c>
      <c r="K11" s="8">
        <v>115.82381729200652</v>
      </c>
      <c r="L11" s="8">
        <f t="shared" ref="L11:L12" si="4">STDEV(K11,Q11,W11)</f>
        <v>10.687749001257135</v>
      </c>
      <c r="M11" s="8"/>
      <c r="N11" s="19" t="s">
        <v>6</v>
      </c>
      <c r="O11" s="20">
        <v>53.507340946166394</v>
      </c>
      <c r="P11" s="20">
        <v>52.039151712887445</v>
      </c>
      <c r="Q11" s="8">
        <v>105.54649265905384</v>
      </c>
      <c r="R11" s="8">
        <f t="shared" ref="R11:R12" si="5">STDEV(E11,Q11,W11)</f>
        <v>8.8337721667442786</v>
      </c>
      <c r="S11" s="8"/>
      <c r="T11" s="19" t="s">
        <v>6</v>
      </c>
      <c r="U11" s="20">
        <v>46.982055464926589</v>
      </c>
      <c r="V11" s="20">
        <v>47.471451876019579</v>
      </c>
      <c r="W11" s="8">
        <v>94.453507340946175</v>
      </c>
      <c r="X11" s="8">
        <f t="shared" ref="X11" si="6">STDEV(W11,E11,K11)</f>
        <v>14.527311422530206</v>
      </c>
    </row>
    <row r="12" spans="1:24" x14ac:dyDescent="0.35">
      <c r="B12" s="18" t="s">
        <v>7</v>
      </c>
      <c r="C12" s="8">
        <v>61.472602739726021</v>
      </c>
      <c r="D12" s="8">
        <v>44.69178082191781</v>
      </c>
      <c r="E12" s="8">
        <v>106.16438356164383</v>
      </c>
      <c r="F12" s="8">
        <f t="shared" si="3"/>
        <v>22.551007978429372</v>
      </c>
      <c r="G12" s="8"/>
      <c r="H12" s="19" t="s">
        <v>7</v>
      </c>
      <c r="I12" s="8">
        <v>46.917808219178085</v>
      </c>
      <c r="J12" s="8">
        <v>38.869863013698627</v>
      </c>
      <c r="K12" s="8">
        <v>85.787671232876704</v>
      </c>
      <c r="L12" s="8">
        <f t="shared" si="4"/>
        <v>26.353364642588563</v>
      </c>
      <c r="M12" s="8"/>
      <c r="N12" s="19" t="s">
        <v>7</v>
      </c>
      <c r="O12" s="20">
        <v>78.595890410958901</v>
      </c>
      <c r="P12" s="20">
        <v>52.226027397260275</v>
      </c>
      <c r="Q12" s="8">
        <v>130.82191780821918</v>
      </c>
      <c r="R12" s="8">
        <f t="shared" si="5"/>
        <v>14.594359332496071</v>
      </c>
      <c r="S12" s="8"/>
      <c r="T12" s="19" t="s">
        <v>7</v>
      </c>
      <c r="U12" s="20">
        <v>76.19863013698631</v>
      </c>
      <c r="V12" s="20">
        <v>55.821917808219176</v>
      </c>
      <c r="W12" s="8">
        <v>132.02054794520549</v>
      </c>
      <c r="X12" s="8">
        <v>17.27</v>
      </c>
    </row>
    <row r="13" spans="1:24" x14ac:dyDescent="0.35">
      <c r="C13" s="8">
        <f>AVERAGE(C10:C12)</f>
        <v>62.126862006227327</v>
      </c>
      <c r="D13" s="8">
        <f>AVERAGE(D10:D12)</f>
        <v>28.614633846566402</v>
      </c>
      <c r="I13" s="8">
        <f>AVERAGE(I10:I12)</f>
        <v>61.476341184532991</v>
      </c>
      <c r="J13" s="8">
        <f>AVERAGE(J10:J12)</f>
        <v>35.467071657094756</v>
      </c>
      <c r="O13" s="8">
        <f>AVERAGE(O10:O12)</f>
        <v>68.617743785708441</v>
      </c>
      <c r="P13" s="8">
        <f>AVERAGE(P10:P12)</f>
        <v>47.098809703382578</v>
      </c>
      <c r="U13" s="8">
        <f>AVERAGE(U10:U12)</f>
        <v>60.383145200637635</v>
      </c>
      <c r="V13" s="8">
        <f>AVERAGE(V10:V12)</f>
        <v>47.764456561412921</v>
      </c>
    </row>
    <row r="18" spans="2:4" x14ac:dyDescent="0.35">
      <c r="B18" t="s">
        <v>31</v>
      </c>
      <c r="C18" t="s">
        <v>1</v>
      </c>
      <c r="D18" t="s">
        <v>34</v>
      </c>
    </row>
    <row r="19" spans="2:4" x14ac:dyDescent="0.35">
      <c r="B19" t="s">
        <v>32</v>
      </c>
      <c r="C19">
        <v>62</v>
      </c>
      <c r="D19">
        <v>29</v>
      </c>
    </row>
    <row r="20" spans="2:4" x14ac:dyDescent="0.35">
      <c r="B20" t="s">
        <v>33</v>
      </c>
      <c r="C20">
        <v>59</v>
      </c>
      <c r="D20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PFAS</vt:lpstr>
      <vt:lpstr>MPs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Abdallah (Geography, Earth and Environmental Sciences)</dc:creator>
  <cp:lastModifiedBy>Luisa Orsini (Biosciences)</cp:lastModifiedBy>
  <dcterms:created xsi:type="dcterms:W3CDTF">2026-03-17T17:05:13Z</dcterms:created>
  <dcterms:modified xsi:type="dcterms:W3CDTF">2026-03-30T06:41:30Z</dcterms:modified>
</cp:coreProperties>
</file>