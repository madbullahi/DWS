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sinil-admin\Dropbox\Luisa_Bham\publications_Bham\Abdullahi_water research\STOTEN\R2\"/>
    </mc:Choice>
  </mc:AlternateContent>
  <xr:revisionPtr revIDLastSave="0" documentId="13_ncr:1_{FD67679D-E88E-42A4-A7B4-0721316550FC}" xr6:coauthVersionLast="47" xr6:coauthVersionMax="47" xr10:uidLastSave="{00000000-0000-0000-0000-000000000000}"/>
  <bookViews>
    <workbookView xWindow="-110" yWindow="-110" windowWidth="19420" windowHeight="12420" xr2:uid="{DABDF413-64A3-475F-A710-0A67D062F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O8" i="1"/>
  <c r="O15" i="1"/>
  <c r="O14" i="1"/>
  <c r="O26" i="1"/>
  <c r="O25" i="1"/>
  <c r="O20" i="1"/>
  <c r="O19" i="1"/>
  <c r="O7" i="1"/>
  <c r="O6" i="1"/>
  <c r="O13" i="1"/>
  <c r="O12" i="1"/>
  <c r="O24" i="1"/>
  <c r="O23" i="1"/>
  <c r="O18" i="1"/>
  <c r="O17" i="1"/>
  <c r="O5" i="1"/>
  <c r="O4" i="1"/>
  <c r="O11" i="1"/>
  <c r="O10" i="1"/>
  <c r="O22" i="1"/>
  <c r="O21" i="1"/>
  <c r="O16" i="1"/>
  <c r="L9" i="1"/>
  <c r="L8" i="1"/>
  <c r="L15" i="1"/>
  <c r="L14" i="1"/>
  <c r="L26" i="1"/>
  <c r="L25" i="1"/>
  <c r="L20" i="1"/>
  <c r="L19" i="1"/>
  <c r="L7" i="1"/>
  <c r="L6" i="1"/>
  <c r="L13" i="1"/>
  <c r="L12" i="1"/>
  <c r="L24" i="1"/>
  <c r="L23" i="1"/>
  <c r="L18" i="1"/>
  <c r="L17" i="1"/>
  <c r="L5" i="1"/>
  <c r="L4" i="1"/>
  <c r="L11" i="1"/>
  <c r="L10" i="1"/>
  <c r="L22" i="1"/>
  <c r="L21" i="1"/>
  <c r="L16" i="1"/>
  <c r="I9" i="1"/>
  <c r="I8" i="1"/>
  <c r="I15" i="1"/>
  <c r="I14" i="1"/>
  <c r="I26" i="1"/>
  <c r="I25" i="1"/>
  <c r="I20" i="1"/>
  <c r="I19" i="1"/>
  <c r="I7" i="1"/>
  <c r="I6" i="1"/>
  <c r="I13" i="1"/>
  <c r="I12" i="1"/>
  <c r="I24" i="1"/>
  <c r="I23" i="1"/>
  <c r="I18" i="1"/>
  <c r="I17" i="1"/>
  <c r="I5" i="1"/>
  <c r="I4" i="1"/>
  <c r="I11" i="1"/>
  <c r="I10" i="1"/>
  <c r="I22" i="1"/>
  <c r="I21" i="1"/>
  <c r="I16" i="1"/>
  <c r="F9" i="1"/>
  <c r="F8" i="1"/>
  <c r="F15" i="1"/>
  <c r="F14" i="1"/>
  <c r="F26" i="1"/>
  <c r="F25" i="1"/>
  <c r="F20" i="1"/>
  <c r="F19" i="1"/>
  <c r="F7" i="1"/>
  <c r="F6" i="1"/>
  <c r="F13" i="1"/>
  <c r="F12" i="1"/>
  <c r="F24" i="1"/>
  <c r="F23" i="1"/>
  <c r="F18" i="1"/>
  <c r="F17" i="1"/>
  <c r="F5" i="1"/>
  <c r="F4" i="1"/>
  <c r="F11" i="1"/>
  <c r="F10" i="1"/>
  <c r="F22" i="1"/>
  <c r="F21" i="1"/>
  <c r="F16" i="1"/>
</calcChain>
</file>

<file path=xl/sharedStrings.xml><?xml version="1.0" encoding="utf-8"?>
<sst xmlns="http://schemas.openxmlformats.org/spreadsheetml/2006/main" count="66" uniqueCount="23">
  <si>
    <t>Day</t>
  </si>
  <si>
    <t>DM1980</t>
  </si>
  <si>
    <t>D1</t>
  </si>
  <si>
    <t>DM2015</t>
  </si>
  <si>
    <t>DM1960</t>
  </si>
  <si>
    <t>DM1900</t>
  </si>
  <si>
    <t>D2</t>
  </si>
  <si>
    <t>D3</t>
  </si>
  <si>
    <t>PFOS</t>
  </si>
  <si>
    <t>Diclofenac</t>
  </si>
  <si>
    <t>Atrazine</t>
  </si>
  <si>
    <t>Arsenic</t>
  </si>
  <si>
    <t>GenoID</t>
  </si>
  <si>
    <t>Rep.</t>
  </si>
  <si>
    <t>IC (ng/L)</t>
  </si>
  <si>
    <t>FC (ng/L)</t>
  </si>
  <si>
    <t>RE (%)</t>
  </si>
  <si>
    <t xml:space="preserve">IC </t>
  </si>
  <si>
    <t>IC (mg/L)</t>
  </si>
  <si>
    <t>FC (mg/L)</t>
  </si>
  <si>
    <t>(mg/L)</t>
  </si>
  <si>
    <r>
      <t>IC (</t>
    </r>
    <r>
      <rPr>
        <sz val="12"/>
        <color rgb="FF1A1A1A"/>
        <rFont val="Calibri"/>
        <family val="2"/>
      </rPr>
      <t>µ</t>
    </r>
    <r>
      <rPr>
        <sz val="12"/>
        <color rgb="FF1A1A1A"/>
        <rFont val="Times New Roman"/>
        <family val="1"/>
      </rPr>
      <t>g/L)</t>
    </r>
  </si>
  <si>
    <t>FC (µg/L)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</si>
</sst>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A1A1A"/>
      <name val="Times New Roman"/>
      <family val="1"/>
    </font>
    <font>
      <sz val="12"/>
      <color rgb="FF1A1A1A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0" fontId="3" fillId="0" borderId="2" xfId="0" applyFont="1" applyBorder="1" applyAlignment="1">
      <alignment horizontal="justify" vertical="center"/>
    </xf>
    <xf numFmtId="0" fontId="3" fillId="0" borderId="1" xfId="0" applyFont="1" applyBorder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3" fillId="0" borderId="1" xfId="0" applyFont="1" applyBorder="1" applyAlignment="1">
      <alignment horizontal="justify" vertical="center"/>
    </xf>
    <xf numFmtId="0" fontId="3" fillId="0" borderId="2" xfId="0" applyFont="1" applyBorder="1" applyAlignment="1">
      <alignment horizontal="justify" vertical="center"/>
    </xf>
    <xf numFmtId="0" fontId="3" fillId="0" borderId="3" xfId="0" applyFont="1" applyBorder="1" applyAlignment="1">
      <alignment horizontal="justify" vertical="center"/>
    </xf>
    <xf numFmtId="0" fontId="3" fillId="0" borderId="4" xfId="0" applyFont="1" applyBorder="1" applyAlignment="1">
      <alignment horizontal="justify" vertical="center"/>
    </xf>
    <xf numFmtId="0" fontId="3" fillId="0" borderId="5" xfId="0" applyFont="1" applyBorder="1" applyAlignment="1">
      <alignment horizontal="justify" vertical="center"/>
    </xf>
    <xf numFmtId="0" fontId="3" fillId="0" borderId="6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B32D-A6C3-496B-A8B1-29FEDB98BCB1}">
  <dimension ref="A1:O1001"/>
  <sheetViews>
    <sheetView tabSelected="1" zoomScale="89" zoomScaleNormal="89" workbookViewId="0">
      <selection activeCell="O12" sqref="O12"/>
    </sheetView>
  </sheetViews>
  <sheetFormatPr defaultColWidth="14.453125" defaultRowHeight="14.5" x14ac:dyDescent="0.35"/>
  <cols>
    <col min="1" max="17" width="8.7265625" customWidth="1"/>
  </cols>
  <sheetData>
    <row r="1" spans="1:15" ht="15" thickBot="1" x14ac:dyDescent="0.4">
      <c r="D1" s="3" t="s">
        <v>8</v>
      </c>
      <c r="G1" s="3" t="s">
        <v>9</v>
      </c>
      <c r="J1" s="3" t="s">
        <v>10</v>
      </c>
      <c r="M1" s="3" t="s">
        <v>11</v>
      </c>
    </row>
    <row r="2" spans="1:15" ht="14.25" customHeight="1" x14ac:dyDescent="0.35">
      <c r="A2" s="6" t="s">
        <v>12</v>
      </c>
      <c r="B2" s="6" t="s">
        <v>13</v>
      </c>
      <c r="C2" s="6" t="s">
        <v>0</v>
      </c>
      <c r="D2" s="8" t="s">
        <v>14</v>
      </c>
      <c r="E2" s="8" t="s">
        <v>15</v>
      </c>
      <c r="F2" s="9" t="s">
        <v>16</v>
      </c>
      <c r="G2" s="11" t="s">
        <v>18</v>
      </c>
      <c r="H2" s="8" t="s">
        <v>19</v>
      </c>
      <c r="I2" s="9" t="s">
        <v>16</v>
      </c>
      <c r="J2" s="4" t="s">
        <v>17</v>
      </c>
      <c r="K2" s="8" t="s">
        <v>19</v>
      </c>
      <c r="L2" s="9" t="s">
        <v>16</v>
      </c>
      <c r="M2" s="11" t="s">
        <v>21</v>
      </c>
      <c r="N2" s="8" t="s">
        <v>22</v>
      </c>
      <c r="O2" s="8" t="s">
        <v>16</v>
      </c>
    </row>
    <row r="3" spans="1:15" ht="14.25" customHeight="1" thickBot="1" x14ac:dyDescent="0.4">
      <c r="A3" s="7"/>
      <c r="B3" s="7"/>
      <c r="C3" s="7"/>
      <c r="D3" s="7"/>
      <c r="E3" s="7"/>
      <c r="F3" s="10"/>
      <c r="G3" s="12"/>
      <c r="H3" s="7"/>
      <c r="I3" s="10"/>
      <c r="J3" s="5" t="s">
        <v>20</v>
      </c>
      <c r="K3" s="7"/>
      <c r="L3" s="10"/>
      <c r="M3" s="12"/>
      <c r="N3" s="7"/>
      <c r="O3" s="7"/>
    </row>
    <row r="4" spans="1:15" ht="14.25" customHeight="1" x14ac:dyDescent="0.35">
      <c r="A4" s="1" t="s">
        <v>5</v>
      </c>
      <c r="B4" s="1">
        <v>1</v>
      </c>
      <c r="C4" s="1" t="s">
        <v>2</v>
      </c>
      <c r="D4" s="2">
        <v>71.765000000000001</v>
      </c>
      <c r="E4" s="2">
        <v>13.54</v>
      </c>
      <c r="F4" s="2">
        <f>(D4-E4)/(D4)*100</f>
        <v>81.132864209572915</v>
      </c>
      <c r="G4" s="2">
        <v>1.865</v>
      </c>
      <c r="H4" s="2">
        <v>0.23</v>
      </c>
      <c r="I4" s="2">
        <f>(G4-H4)/(G4)*(100)</f>
        <v>87.667560321715825</v>
      </c>
      <c r="J4" s="2">
        <v>0.22</v>
      </c>
      <c r="K4" s="2">
        <v>0.17</v>
      </c>
      <c r="L4" s="2">
        <f>(J4-K4)/(J4)*(100)</f>
        <v>22.72727272727272</v>
      </c>
      <c r="M4" s="2">
        <v>788.74</v>
      </c>
      <c r="N4" s="2">
        <v>358.91</v>
      </c>
      <c r="O4" s="2">
        <f>(M4-N4)/(M4)*(100)</f>
        <v>54.495778076425694</v>
      </c>
    </row>
    <row r="5" spans="1:15" ht="14.25" customHeight="1" x14ac:dyDescent="0.35">
      <c r="A5" s="1" t="s">
        <v>5</v>
      </c>
      <c r="B5" s="1">
        <v>2</v>
      </c>
      <c r="C5" s="1" t="s">
        <v>2</v>
      </c>
      <c r="D5" s="2">
        <v>71.765000000000001</v>
      </c>
      <c r="E5" s="2">
        <v>29.83</v>
      </c>
      <c r="F5" s="2">
        <f>(D5-E5)/(D5)*100</f>
        <v>58.433776910750368</v>
      </c>
      <c r="G5" s="2">
        <v>1.865</v>
      </c>
      <c r="H5" s="2">
        <v>0.28000000000000003</v>
      </c>
      <c r="I5" s="2">
        <f>(G5-H5)/(G5)*(100)</f>
        <v>84.986595174262732</v>
      </c>
      <c r="J5" s="2">
        <v>0.22</v>
      </c>
      <c r="K5" s="2">
        <v>0.06</v>
      </c>
      <c r="L5" s="2">
        <f>(J5-K5)/(J5)*(100)</f>
        <v>72.727272727272734</v>
      </c>
      <c r="M5" s="2">
        <v>788.74</v>
      </c>
      <c r="N5" s="2">
        <v>316.45</v>
      </c>
      <c r="O5" s="2">
        <f>(M5-N5)/(M5)*(100)</f>
        <v>59.879047594898196</v>
      </c>
    </row>
    <row r="6" spans="1:15" ht="14.25" customHeight="1" x14ac:dyDescent="0.35">
      <c r="A6" s="1" t="s">
        <v>5</v>
      </c>
      <c r="B6" s="1">
        <v>1</v>
      </c>
      <c r="C6" s="1" t="s">
        <v>6</v>
      </c>
      <c r="D6" s="2">
        <v>70.83</v>
      </c>
      <c r="E6" s="2">
        <v>30.79</v>
      </c>
      <c r="F6" s="2">
        <f>(D6-E6)/(D6)*100</f>
        <v>56.529719045602143</v>
      </c>
      <c r="G6" s="2">
        <v>1.89</v>
      </c>
      <c r="H6" s="2">
        <v>0.01</v>
      </c>
      <c r="I6" s="2">
        <f>(G6-H6)/(G6)*(100)</f>
        <v>99.470899470899468</v>
      </c>
      <c r="J6" s="2">
        <v>0.215</v>
      </c>
      <c r="K6" s="2">
        <v>7.0000000000000007E-2</v>
      </c>
      <c r="L6" s="2">
        <f>(J6-K6)/(J6)*(100)</f>
        <v>67.441860465116278</v>
      </c>
      <c r="M6" s="2">
        <v>788.74</v>
      </c>
      <c r="N6" s="2">
        <v>342.18</v>
      </c>
      <c r="O6" s="2">
        <f>(M6-N6)/(M6)*(100)</f>
        <v>56.616882622917565</v>
      </c>
    </row>
    <row r="7" spans="1:15" ht="14.25" customHeight="1" x14ac:dyDescent="0.35">
      <c r="A7" s="1" t="s">
        <v>5</v>
      </c>
      <c r="B7" s="1">
        <v>2</v>
      </c>
      <c r="C7" s="1" t="s">
        <v>6</v>
      </c>
      <c r="D7" s="2">
        <v>70.83</v>
      </c>
      <c r="E7" s="2">
        <v>29.32</v>
      </c>
      <c r="F7" s="2">
        <f>(D7-E7)/(D7)*100</f>
        <v>58.605110828744877</v>
      </c>
      <c r="G7" s="2">
        <v>1.89</v>
      </c>
      <c r="H7" s="2">
        <v>0.03</v>
      </c>
      <c r="I7" s="2">
        <f>(G7-H7)/(G7)*(100)</f>
        <v>98.412698412698404</v>
      </c>
      <c r="J7" s="2">
        <v>0.215</v>
      </c>
      <c r="K7" s="2">
        <v>7.0000000000000007E-2</v>
      </c>
      <c r="L7" s="2">
        <f>(J7-K7)/(J7)*(100)</f>
        <v>67.441860465116278</v>
      </c>
      <c r="M7" s="2">
        <v>788.74</v>
      </c>
      <c r="N7" s="2">
        <v>274.25</v>
      </c>
      <c r="O7" s="2">
        <f>(M7-N7)/(M7)*(100)</f>
        <v>65.229353145523234</v>
      </c>
    </row>
    <row r="8" spans="1:15" ht="14.25" customHeight="1" x14ac:dyDescent="0.35">
      <c r="A8" s="1" t="s">
        <v>5</v>
      </c>
      <c r="B8" s="1">
        <v>1</v>
      </c>
      <c r="C8" s="1" t="s">
        <v>7</v>
      </c>
      <c r="D8" s="2">
        <v>67.034999999999997</v>
      </c>
      <c r="E8" s="2">
        <v>13.54</v>
      </c>
      <c r="F8" s="2">
        <f>(D8-E8)/(D8)*100</f>
        <v>79.801596181099427</v>
      </c>
      <c r="G8" s="2">
        <v>1.84</v>
      </c>
      <c r="H8" s="2">
        <v>0.02</v>
      </c>
      <c r="I8" s="2">
        <f>(G8-H8)/(G8)*(100)</f>
        <v>98.91304347826086</v>
      </c>
      <c r="J8" s="2">
        <v>0.21</v>
      </c>
      <c r="K8" s="2">
        <v>7.0000000000000007E-2</v>
      </c>
      <c r="L8" s="2">
        <f>(J8-K8)/(J8)*(100)</f>
        <v>66.666666666666657</v>
      </c>
      <c r="M8" s="2">
        <v>788.74</v>
      </c>
      <c r="N8" s="2">
        <v>381.33</v>
      </c>
      <c r="O8" s="2">
        <f>(M8-N8)/(M8)*(100)</f>
        <v>51.65326977204149</v>
      </c>
    </row>
    <row r="9" spans="1:15" ht="14.25" customHeight="1" x14ac:dyDescent="0.35">
      <c r="A9" s="1" t="s">
        <v>5</v>
      </c>
      <c r="B9" s="1">
        <v>2</v>
      </c>
      <c r="C9" s="1" t="s">
        <v>7</v>
      </c>
      <c r="D9" s="2">
        <v>67.034999999999997</v>
      </c>
      <c r="E9" s="2">
        <v>29.83</v>
      </c>
      <c r="F9" s="2">
        <f>(D9-E9)/(D9)*100</f>
        <v>55.500857760871192</v>
      </c>
      <c r="G9" s="2">
        <v>1.84</v>
      </c>
      <c r="H9" s="2">
        <v>0.02</v>
      </c>
      <c r="I9" s="2">
        <f>(G9-H9)/(G9)*(100)</f>
        <v>98.91304347826086</v>
      </c>
      <c r="J9" s="2">
        <v>0.21</v>
      </c>
      <c r="K9" s="2">
        <v>0.1</v>
      </c>
      <c r="L9" s="2">
        <f>(J9-K9)/(J9)*(100)</f>
        <v>52.380952380952372</v>
      </c>
      <c r="M9" s="2">
        <v>788.74</v>
      </c>
      <c r="N9" s="2">
        <v>401.44</v>
      </c>
      <c r="O9" s="2">
        <f>(M9-N9)/(M9)*(100)</f>
        <v>49.103633643532724</v>
      </c>
    </row>
    <row r="10" spans="1:15" ht="14.25" customHeight="1" x14ac:dyDescent="0.35">
      <c r="A10" s="1" t="s">
        <v>4</v>
      </c>
      <c r="B10" s="1">
        <v>1</v>
      </c>
      <c r="C10" s="1" t="s">
        <v>2</v>
      </c>
      <c r="D10" s="2">
        <v>71.765000000000001</v>
      </c>
      <c r="E10" s="2">
        <v>43.97</v>
      </c>
      <c r="F10" s="2">
        <f>(D10-E10)/(D10)*100</f>
        <v>38.730578973036998</v>
      </c>
      <c r="G10" s="2">
        <v>1.865</v>
      </c>
      <c r="H10" s="2">
        <v>0.31</v>
      </c>
      <c r="I10" s="2">
        <f>(G10-H10)/(G10)*(100)</f>
        <v>83.37801608579089</v>
      </c>
      <c r="J10" s="2">
        <v>0.22</v>
      </c>
      <c r="K10" s="2">
        <v>0.06</v>
      </c>
      <c r="L10" s="2">
        <f>(J10-K10)/(J10)*(100)</f>
        <v>72.727272727272734</v>
      </c>
      <c r="M10" s="2">
        <v>788.74</v>
      </c>
      <c r="N10" s="2">
        <v>208.69</v>
      </c>
      <c r="O10" s="2">
        <f>(M10-N10)/(M10)*(100)</f>
        <v>73.5413444227502</v>
      </c>
    </row>
    <row r="11" spans="1:15" ht="14.25" customHeight="1" x14ac:dyDescent="0.35">
      <c r="A11" s="1" t="s">
        <v>4</v>
      </c>
      <c r="B11" s="1">
        <v>2</v>
      </c>
      <c r="C11" s="1" t="s">
        <v>2</v>
      </c>
      <c r="D11" s="2">
        <v>71.765000000000001</v>
      </c>
      <c r="E11" s="2">
        <v>60.31</v>
      </c>
      <c r="F11" s="2">
        <f>(D11-E11)/(D11)*100</f>
        <v>15.961819828607258</v>
      </c>
      <c r="G11" s="2">
        <v>1.865</v>
      </c>
      <c r="H11" s="2">
        <v>0.04</v>
      </c>
      <c r="I11" s="2">
        <f>(G11-H11)/(G11)*(100)</f>
        <v>97.855227882037525</v>
      </c>
      <c r="J11" s="2">
        <v>0.22</v>
      </c>
      <c r="K11" s="2">
        <v>0.06</v>
      </c>
      <c r="L11" s="2">
        <f>(J11-K11)/(J11)*(100)</f>
        <v>72.727272727272734</v>
      </c>
      <c r="M11" s="2">
        <v>788.74</v>
      </c>
      <c r="N11" s="2">
        <v>336.6</v>
      </c>
      <c r="O11" s="2">
        <f>(M11-N11)/(M11)*(100)</f>
        <v>57.324340086720596</v>
      </c>
    </row>
    <row r="12" spans="1:15" ht="14.25" customHeight="1" x14ac:dyDescent="0.35">
      <c r="A12" s="1" t="s">
        <v>4</v>
      </c>
      <c r="B12" s="1">
        <v>1</v>
      </c>
      <c r="C12" s="1" t="s">
        <v>6</v>
      </c>
      <c r="D12" s="2">
        <v>70.83</v>
      </c>
      <c r="E12" s="2">
        <v>43.97</v>
      </c>
      <c r="F12" s="2">
        <f>(D12-E12)/(D12)*100</f>
        <v>37.921784554567274</v>
      </c>
      <c r="G12" s="2">
        <v>1.89</v>
      </c>
      <c r="H12" s="2">
        <v>0.06</v>
      </c>
      <c r="I12" s="2">
        <f>(G12-H12)/(G12)*(100)</f>
        <v>96.825396825396822</v>
      </c>
      <c r="J12" s="2">
        <v>0.215</v>
      </c>
      <c r="K12" s="2">
        <v>7.0000000000000007E-2</v>
      </c>
      <c r="L12" s="2">
        <f>(J12-K12)/(J12)*(100)</f>
        <v>67.441860465116278</v>
      </c>
      <c r="M12" s="2">
        <v>788.74</v>
      </c>
      <c r="N12" s="2">
        <v>352.55</v>
      </c>
      <c r="O12" s="2">
        <f>(M12-N12)/(M12)*(100)</f>
        <v>55.302127443771077</v>
      </c>
    </row>
    <row r="13" spans="1:15" ht="14.25" customHeight="1" x14ac:dyDescent="0.35">
      <c r="A13" s="1" t="s">
        <v>4</v>
      </c>
      <c r="B13" s="1">
        <v>2</v>
      </c>
      <c r="C13" s="1" t="s">
        <v>6</v>
      </c>
      <c r="D13" s="2">
        <v>70.83</v>
      </c>
      <c r="E13" s="2">
        <v>60.31</v>
      </c>
      <c r="F13" s="2">
        <f>(D13-E13)/(D13)*100</f>
        <v>14.85246364534801</v>
      </c>
      <c r="G13" s="2">
        <v>1.89</v>
      </c>
      <c r="H13" s="2">
        <v>0.06</v>
      </c>
      <c r="I13" s="2">
        <f>(G13-H13)/(G13)*(100)</f>
        <v>96.825396825396822</v>
      </c>
      <c r="J13" s="2">
        <v>0.215</v>
      </c>
      <c r="K13" s="2">
        <v>0.08</v>
      </c>
      <c r="L13" s="2">
        <f>(J13-K13)/(J13)*(100)</f>
        <v>62.790697674418603</v>
      </c>
      <c r="M13" s="2">
        <v>788.74</v>
      </c>
      <c r="N13" s="2">
        <v>353.71</v>
      </c>
      <c r="O13" s="2">
        <f>(M13-N13)/(M13)*(100)</f>
        <v>55.155057433374758</v>
      </c>
    </row>
    <row r="14" spans="1:15" ht="14.25" customHeight="1" x14ac:dyDescent="0.35">
      <c r="A14" s="1" t="s">
        <v>4</v>
      </c>
      <c r="B14" s="1">
        <v>1</v>
      </c>
      <c r="C14" s="1" t="s">
        <v>7</v>
      </c>
      <c r="D14" s="2">
        <v>67.034999999999997</v>
      </c>
      <c r="E14" s="2">
        <v>46.91</v>
      </c>
      <c r="F14" s="2">
        <f>(D14-E14)/(D14)*100</f>
        <v>30.021630491534275</v>
      </c>
      <c r="G14" s="2">
        <v>1.84</v>
      </c>
      <c r="H14" s="2">
        <v>0.03</v>
      </c>
      <c r="I14" s="2">
        <f>(G14-H14)/(G14)*(100)</f>
        <v>98.369565217391312</v>
      </c>
      <c r="J14" s="2">
        <v>0.21</v>
      </c>
      <c r="K14" s="2">
        <v>0.09</v>
      </c>
      <c r="L14" s="2">
        <f>(J14-K14)/(J14)*(100)</f>
        <v>57.142857142857139</v>
      </c>
      <c r="M14" s="2">
        <v>788.74</v>
      </c>
      <c r="N14" s="2">
        <v>436.91</v>
      </c>
      <c r="O14" s="2">
        <f>(M14-N14)/(M14)*(100)</f>
        <v>44.606587722189815</v>
      </c>
    </row>
    <row r="15" spans="1:15" ht="14.25" customHeight="1" x14ac:dyDescent="0.35">
      <c r="A15" s="1" t="s">
        <v>4</v>
      </c>
      <c r="B15" s="1">
        <v>2</v>
      </c>
      <c r="C15" s="1" t="s">
        <v>7</v>
      </c>
      <c r="D15" s="2">
        <v>67.034999999999997</v>
      </c>
      <c r="E15" s="2">
        <v>10.44</v>
      </c>
      <c r="F15" s="2">
        <f>(D15-E15)/(D15)*100</f>
        <v>84.426046095323343</v>
      </c>
      <c r="G15" s="2">
        <v>1.84</v>
      </c>
      <c r="H15" s="2">
        <v>0.26</v>
      </c>
      <c r="I15" s="2">
        <f>(G15-H15)/(G15)*(100)</f>
        <v>85.869565217391312</v>
      </c>
      <c r="J15" s="2">
        <v>0.21</v>
      </c>
      <c r="K15" s="2">
        <v>0.05</v>
      </c>
      <c r="L15" s="2">
        <f>(J15-K15)/(J15)*(100)</f>
        <v>76.19047619047619</v>
      </c>
      <c r="M15" s="2">
        <v>788.74</v>
      </c>
      <c r="N15" s="2">
        <v>305.49</v>
      </c>
      <c r="O15" s="2">
        <f>(M15-N15)/(M15)*(100)</f>
        <v>61.268605624160053</v>
      </c>
    </row>
    <row r="16" spans="1:15" ht="14.25" customHeight="1" x14ac:dyDescent="0.35">
      <c r="A16" s="1" t="s">
        <v>1</v>
      </c>
      <c r="B16" s="1">
        <v>2</v>
      </c>
      <c r="C16" s="1" t="s">
        <v>2</v>
      </c>
      <c r="D16" s="2">
        <v>71.765000000000001</v>
      </c>
      <c r="E16" s="2">
        <v>67.599999999999994</v>
      </c>
      <c r="F16" s="2">
        <f>(D16-E16)/(D16)*100</f>
        <v>5.8036647390789469</v>
      </c>
      <c r="G16" s="2">
        <v>1.865</v>
      </c>
      <c r="H16" s="2">
        <v>0.22</v>
      </c>
      <c r="I16" s="2">
        <f>(G16-H16)/(G16)*(100)</f>
        <v>88.203753351206444</v>
      </c>
      <c r="J16" s="2">
        <v>0.22</v>
      </c>
      <c r="K16" s="2">
        <v>0.19</v>
      </c>
      <c r="L16" s="2">
        <f>(J16-K16)/(J16)*(100)</f>
        <v>13.636363636363635</v>
      </c>
      <c r="M16" s="2">
        <v>788.74</v>
      </c>
      <c r="N16" s="2">
        <v>340.67</v>
      </c>
      <c r="O16" s="2">
        <f>(M16-N16)/(M16)*(100)</f>
        <v>56.808327205416234</v>
      </c>
    </row>
    <row r="17" spans="1:15" ht="14.25" customHeight="1" x14ac:dyDescent="0.35">
      <c r="A17" s="1" t="s">
        <v>1</v>
      </c>
      <c r="B17" s="1">
        <v>1</v>
      </c>
      <c r="C17" s="1" t="s">
        <v>6</v>
      </c>
      <c r="D17" s="2">
        <v>70.83</v>
      </c>
      <c r="E17" s="2">
        <v>36.01</v>
      </c>
      <c r="F17" s="2">
        <f>(D17-E17)/(D17)*100</f>
        <v>49.159960468727945</v>
      </c>
      <c r="G17" s="2">
        <v>1.89</v>
      </c>
      <c r="H17" s="2">
        <v>0.37</v>
      </c>
      <c r="I17" s="2">
        <f>(G17-H17)/(G17)*(100)</f>
        <v>80.423280423280431</v>
      </c>
      <c r="J17" s="2">
        <v>0.215</v>
      </c>
      <c r="K17" s="2">
        <v>0.06</v>
      </c>
      <c r="L17" s="2">
        <f>(J17-K17)/(J17)*(100)</f>
        <v>72.093023255813961</v>
      </c>
      <c r="M17" s="2">
        <v>788.74</v>
      </c>
      <c r="N17" s="2">
        <v>436.68</v>
      </c>
      <c r="O17" s="2">
        <f>(M17-N17)/(M17)*(100)</f>
        <v>44.63574815528564</v>
      </c>
    </row>
    <row r="18" spans="1:15" ht="14.25" customHeight="1" x14ac:dyDescent="0.35">
      <c r="A18" s="1" t="s">
        <v>1</v>
      </c>
      <c r="B18" s="1">
        <v>2</v>
      </c>
      <c r="C18" s="1" t="s">
        <v>6</v>
      </c>
      <c r="D18" s="2">
        <v>70.83</v>
      </c>
      <c r="E18" s="2">
        <v>17.734999999999999</v>
      </c>
      <c r="F18" s="2">
        <f>(D18-E18)/(D18)*100</f>
        <v>74.961174643512635</v>
      </c>
      <c r="G18" s="2">
        <v>1.89</v>
      </c>
      <c r="H18" s="2">
        <v>0.11</v>
      </c>
      <c r="I18" s="2">
        <f>(G18-H18)/(G18)*(100)</f>
        <v>94.179894179894177</v>
      </c>
      <c r="J18" s="2">
        <v>0.215</v>
      </c>
      <c r="K18" s="2">
        <v>0.12</v>
      </c>
      <c r="L18" s="2">
        <f>(J18-K18)/(J18)*(100)</f>
        <v>44.186046511627907</v>
      </c>
      <c r="M18" s="2">
        <v>788.74</v>
      </c>
      <c r="N18" s="2">
        <v>381.49</v>
      </c>
      <c r="O18" s="2">
        <f>(M18-N18)/(M18)*(100)</f>
        <v>51.632984253366132</v>
      </c>
    </row>
    <row r="19" spans="1:15" ht="14.25" customHeight="1" x14ac:dyDescent="0.35">
      <c r="A19" s="1" t="s">
        <v>1</v>
      </c>
      <c r="B19" s="1">
        <v>1</v>
      </c>
      <c r="C19" s="1" t="s">
        <v>7</v>
      </c>
      <c r="D19" s="2">
        <v>67.034999999999997</v>
      </c>
      <c r="E19" s="2">
        <v>44.25</v>
      </c>
      <c r="F19" s="2">
        <f>(D19-E19)/(D19)*100</f>
        <v>33.989706869545756</v>
      </c>
      <c r="G19" s="2">
        <v>1.84</v>
      </c>
      <c r="H19" s="2">
        <v>0.18</v>
      </c>
      <c r="I19" s="2">
        <f>(G19-H19)/(G19)*(100)</f>
        <v>90.217391304347828</v>
      </c>
      <c r="J19" s="2">
        <v>0.21</v>
      </c>
      <c r="K19" s="2">
        <v>7.0000000000000007E-2</v>
      </c>
      <c r="L19" s="2">
        <f>(J19-K19)/(J19)*(100)</f>
        <v>66.666666666666657</v>
      </c>
      <c r="M19" s="2">
        <v>788.74</v>
      </c>
      <c r="N19" s="2">
        <v>194.93</v>
      </c>
      <c r="O19" s="2">
        <f>(M19-N19)/(M19)*(100)</f>
        <v>75.285899028830784</v>
      </c>
    </row>
    <row r="20" spans="1:15" ht="14.25" customHeight="1" x14ac:dyDescent="0.35">
      <c r="A20" s="1" t="s">
        <v>1</v>
      </c>
      <c r="B20" s="1">
        <v>2</v>
      </c>
      <c r="C20" s="1" t="s">
        <v>7</v>
      </c>
      <c r="D20" s="2">
        <v>67.034999999999997</v>
      </c>
      <c r="E20" s="2">
        <v>52.01</v>
      </c>
      <c r="F20" s="2">
        <f>(D20-E20)/(D20)*100</f>
        <v>22.413664503617511</v>
      </c>
      <c r="G20" s="2">
        <v>1.84</v>
      </c>
      <c r="H20" s="2">
        <v>0.14000000000000001</v>
      </c>
      <c r="I20" s="2">
        <f>(G20-H20)/(G20)*(100)</f>
        <v>92.391304347826093</v>
      </c>
      <c r="J20" s="2">
        <v>0.21</v>
      </c>
      <c r="K20" s="2">
        <v>0.08</v>
      </c>
      <c r="L20" s="2">
        <f>(J20-K20)/(J20)*(100)</f>
        <v>61.904761904761905</v>
      </c>
      <c r="M20" s="2">
        <v>788.74</v>
      </c>
      <c r="N20" s="2">
        <v>273.83999999999997</v>
      </c>
      <c r="O20" s="2">
        <f>(M20-N20)/(M20)*(100)</f>
        <v>65.281334787128856</v>
      </c>
    </row>
    <row r="21" spans="1:15" ht="14.25" customHeight="1" x14ac:dyDescent="0.35">
      <c r="A21" s="1" t="s">
        <v>3</v>
      </c>
      <c r="B21" s="1">
        <v>1</v>
      </c>
      <c r="C21" s="1" t="s">
        <v>2</v>
      </c>
      <c r="D21" s="2">
        <v>71.765000000000001</v>
      </c>
      <c r="E21" s="2">
        <v>11.84</v>
      </c>
      <c r="F21" s="2">
        <f>(D21-E21)/(D21)*100</f>
        <v>83.501706960217376</v>
      </c>
      <c r="G21" s="2">
        <v>1.865</v>
      </c>
      <c r="H21" s="2">
        <v>0.33</v>
      </c>
      <c r="I21" s="2">
        <f>(G21-H21)/(G21)*(100)</f>
        <v>82.305630026809652</v>
      </c>
      <c r="J21" s="2">
        <v>0.22</v>
      </c>
      <c r="K21" s="2">
        <v>0.13</v>
      </c>
      <c r="L21" s="2">
        <f>(J21-K21)/(J21)*(100)</f>
        <v>40.909090909090907</v>
      </c>
      <c r="M21" s="2">
        <v>788.74</v>
      </c>
      <c r="N21" s="2">
        <v>211.75</v>
      </c>
      <c r="O21" s="2">
        <f>(M21-N21)/(M21)*(100)</f>
        <v>73.153383878084028</v>
      </c>
    </row>
    <row r="22" spans="1:15" ht="14.25" customHeight="1" x14ac:dyDescent="0.35">
      <c r="A22" s="1" t="s">
        <v>3</v>
      </c>
      <c r="B22" s="1">
        <v>2</v>
      </c>
      <c r="C22" s="1" t="s">
        <v>2</v>
      </c>
      <c r="D22" s="2">
        <v>71.765000000000001</v>
      </c>
      <c r="E22" s="2">
        <v>32.67</v>
      </c>
      <c r="F22" s="2">
        <f>(D22-E22)/(D22)*100</f>
        <v>54.47641608026197</v>
      </c>
      <c r="G22" s="2">
        <v>1.865</v>
      </c>
      <c r="H22" s="2">
        <v>0.25</v>
      </c>
      <c r="I22" s="2">
        <f>(G22-H22)/(G22)*(100)</f>
        <v>86.595174262734588</v>
      </c>
      <c r="J22" s="2">
        <v>0.22</v>
      </c>
      <c r="K22" s="2">
        <v>0.09</v>
      </c>
      <c r="L22" s="2">
        <f>(J22-K22)/(J22)*(100)</f>
        <v>59.090909090909093</v>
      </c>
      <c r="M22" s="2">
        <v>788.74</v>
      </c>
      <c r="N22" s="2">
        <v>417.89</v>
      </c>
      <c r="O22" s="2">
        <f>(M22-N22)/(M22)*(100)</f>
        <v>47.018028754722721</v>
      </c>
    </row>
    <row r="23" spans="1:15" ht="14.25" customHeight="1" x14ac:dyDescent="0.35">
      <c r="A23" s="1" t="s">
        <v>3</v>
      </c>
      <c r="B23" s="1">
        <v>1</v>
      </c>
      <c r="C23" s="1" t="s">
        <v>6</v>
      </c>
      <c r="D23" s="2">
        <v>70.83</v>
      </c>
      <c r="E23" s="2">
        <v>41.866999999999997</v>
      </c>
      <c r="F23" s="2">
        <f>(D23-E23)/(D23)*100</f>
        <v>40.890865452491887</v>
      </c>
      <c r="G23" s="2">
        <v>1.89</v>
      </c>
      <c r="H23" s="2">
        <v>0.23</v>
      </c>
      <c r="I23" s="2">
        <f>(G23-H23)/(G23)*(100)</f>
        <v>87.830687830687822</v>
      </c>
      <c r="J23" s="2">
        <v>0.215</v>
      </c>
      <c r="K23" s="2">
        <v>0.09</v>
      </c>
      <c r="L23" s="2">
        <f>(J23-K23)/(J23)*(100)</f>
        <v>58.139534883720934</v>
      </c>
      <c r="M23" s="2">
        <v>788.74</v>
      </c>
      <c r="N23" s="2">
        <v>270.91000000000003</v>
      </c>
      <c r="O23" s="2">
        <f>(M23-N23)/(M23)*(100)</f>
        <v>65.652813347871273</v>
      </c>
    </row>
    <row r="24" spans="1:15" ht="14.25" customHeight="1" x14ac:dyDescent="0.35">
      <c r="A24" s="1" t="s">
        <v>3</v>
      </c>
      <c r="B24" s="1">
        <v>2</v>
      </c>
      <c r="C24" s="1" t="s">
        <v>6</v>
      </c>
      <c r="D24" s="2">
        <v>70.83</v>
      </c>
      <c r="E24" s="2">
        <v>44.29</v>
      </c>
      <c r="F24" s="2">
        <f>(D24-E24)/(D24)*100</f>
        <v>37.469998588168856</v>
      </c>
      <c r="G24" s="2">
        <v>1.89</v>
      </c>
      <c r="H24" s="2">
        <v>0.24</v>
      </c>
      <c r="I24" s="2">
        <f>(G24-H24)/(G24)*(100)</f>
        <v>87.301587301587304</v>
      </c>
      <c r="J24" s="2">
        <v>0.215</v>
      </c>
      <c r="K24" s="2">
        <v>0.06</v>
      </c>
      <c r="L24" s="2">
        <f>(J24-K24)/(J24)*(100)</f>
        <v>72.093023255813961</v>
      </c>
      <c r="M24" s="2">
        <v>788.74</v>
      </c>
      <c r="N24" s="2">
        <v>249.25</v>
      </c>
      <c r="O24" s="2">
        <f>(M24-N24)/(M24)*(100)</f>
        <v>68.398965438547549</v>
      </c>
    </row>
    <row r="25" spans="1:15" ht="14.25" customHeight="1" x14ac:dyDescent="0.35">
      <c r="A25" s="1" t="s">
        <v>3</v>
      </c>
      <c r="B25" s="1">
        <v>1</v>
      </c>
      <c r="C25" s="1" t="s">
        <v>7</v>
      </c>
      <c r="D25" s="2">
        <v>67.034999999999997</v>
      </c>
      <c r="E25" s="2">
        <v>36.198999999999998</v>
      </c>
      <c r="F25" s="2">
        <f>(D25-E25)/(D25)*100</f>
        <v>45.999850824196315</v>
      </c>
      <c r="G25" s="2">
        <v>1.84</v>
      </c>
      <c r="H25" s="2">
        <v>0.23</v>
      </c>
      <c r="I25" s="2">
        <f>(G25-H25)/(G25)*(100)</f>
        <v>87.5</v>
      </c>
      <c r="J25" s="2">
        <v>0.21</v>
      </c>
      <c r="K25" s="2">
        <v>0.08</v>
      </c>
      <c r="L25" s="2">
        <f>(J25-K25)/(J25)*(100)</f>
        <v>61.904761904761905</v>
      </c>
      <c r="M25" s="2">
        <v>788.74</v>
      </c>
      <c r="N25" s="2">
        <v>342.61</v>
      </c>
      <c r="O25" s="2">
        <f>(M25-N25)/(M25)*(100)</f>
        <v>56.562365291477548</v>
      </c>
    </row>
    <row r="26" spans="1:15" ht="14.25" customHeight="1" x14ac:dyDescent="0.35">
      <c r="A26" s="1" t="s">
        <v>3</v>
      </c>
      <c r="B26" s="1">
        <v>2</v>
      </c>
      <c r="C26" s="1" t="s">
        <v>7</v>
      </c>
      <c r="D26" s="2">
        <v>67.034999999999997</v>
      </c>
      <c r="E26" s="2">
        <v>39.799999999999997</v>
      </c>
      <c r="F26" s="2">
        <f>(D26-E26)/(D26)*100</f>
        <v>40.628030133512347</v>
      </c>
      <c r="G26" s="2">
        <v>1.84</v>
      </c>
      <c r="H26" s="2">
        <v>0.61</v>
      </c>
      <c r="I26" s="2">
        <f>(G26-H26)/(G26)*(100)</f>
        <v>66.847826086956516</v>
      </c>
      <c r="J26" s="2">
        <v>0.21</v>
      </c>
      <c r="K26" s="2">
        <v>0.06</v>
      </c>
      <c r="L26" s="2">
        <f>(J26-K26)/(J26)*(100)</f>
        <v>71.428571428571431</v>
      </c>
      <c r="M26" s="2">
        <v>788.74</v>
      </c>
      <c r="N26" s="2">
        <v>230.27</v>
      </c>
      <c r="O26" s="2">
        <f>(M26-N26)/(M26)*(100)</f>
        <v>70.805335091411621</v>
      </c>
    </row>
    <row r="27" spans="1:15" ht="14.25" customHeight="1" x14ac:dyDescent="0.35"/>
    <row r="28" spans="1:15" ht="14.25" customHeight="1" x14ac:dyDescent="0.35"/>
    <row r="29" spans="1:15" ht="14.25" customHeight="1" x14ac:dyDescent="0.35"/>
    <row r="30" spans="1:15" ht="14.25" customHeight="1" x14ac:dyDescent="0.35"/>
    <row r="31" spans="1:15" ht="14.25" customHeight="1" x14ac:dyDescent="0.35"/>
    <row r="32" spans="1:15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</sheetData>
  <sortState xmlns:xlrd2="http://schemas.microsoft.com/office/spreadsheetml/2017/richdata2" ref="A4:O26">
    <sortCondition ref="A4:A26"/>
  </sortState>
  <mergeCells count="14">
    <mergeCell ref="N2:N3"/>
    <mergeCell ref="O2:O3"/>
    <mergeCell ref="G2:G3"/>
    <mergeCell ref="H2:H3"/>
    <mergeCell ref="I2:I3"/>
    <mergeCell ref="K2:K3"/>
    <mergeCell ref="L2:L3"/>
    <mergeCell ref="M2:M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Orsini Administrator</dc:creator>
  <cp:lastModifiedBy>Luisa Orsini Administrator</cp:lastModifiedBy>
  <dcterms:created xsi:type="dcterms:W3CDTF">2023-08-06T15:07:39Z</dcterms:created>
  <dcterms:modified xsi:type="dcterms:W3CDTF">2023-08-06T15:33:39Z</dcterms:modified>
</cp:coreProperties>
</file>